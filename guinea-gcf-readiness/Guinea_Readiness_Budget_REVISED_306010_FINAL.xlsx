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ance" sheetId="1" state="visible" r:id="rId3"/>
    <sheet name="Implementation Plan" sheetId="2" state="visible" r:id="rId4"/>
    <sheet name="Budget Plan" sheetId="3" state="visible" r:id="rId5"/>
    <sheet name="Disbursement Schedule" sheetId="4" state="visible" r:id="rId6"/>
    <sheet name="Fee request" sheetId="5" state="visible" r:id="rId7"/>
    <sheet name="Budget Category" sheetId="6" state="visible" r:id="rId8"/>
    <sheet name="Budget Notes" sheetId="7" state="visible" r:id="rId9"/>
    <sheet name="List of Deliverables" sheetId="8" state="visible" r:id="rId10"/>
  </sheets>
  <definedNames>
    <definedName function="false" hidden="false" name="Categories" vbProcedure="false">OFFSET('[1]title lists'!$f$2,0,0,COUNTA('[1]title lists'!$f:$f)-1,1)</definedName>
    <definedName function="false" hidden="false" name="Components" vbProcedure="false">OFFSET('[1]title lists'!$b$2,0,0,COUNTA('[1]title lists'!$b:$b)-1,1)</definedName>
    <definedName function="false" hidden="false" name="Funding" vbProcedure="false">OFFSET('[1]title lists'!$h$2,0,0,COUNTA('[1]title lists'!$h:$h)-1,1)</definedName>
    <definedName function="false" hidden="false" name="Outputs" vbProcedure="false">OFFSET('[1]title lists'!$d$2,0,0,COUNTA('[1]title lists'!$d:$d)-1,1)</definedName>
    <definedName function="false" hidden="false" localSheetId="1" name="_ftn1" vbProcedure="false">'implementation plan'!#ref!</definedName>
    <definedName function="false" hidden="false" localSheetId="1" name="_ftnref1" vbProcedure="false">'implementation plan'!#ref!</definedName>
    <definedName function="false" hidden="false" localSheetId="1" name="_Hlk146016245" vbProcedure="false">'implementation plan'!#ref!</definedName>
    <definedName function="false" hidden="false" localSheetId="1" name="_Ref142569733" vbProcedure="false">'implementation plan'!#ref!</definedName>
  </definedNames>
  <calcPr iterateCount="100" refMode="A1" iterate="false" iterateDelta="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6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25% is fixed or shall we allow flexibility (may be in the guidance document)?</t>
        </r>
      </text>
    </comment>
    <comment ref="A6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Milestone or deliverable?</t>
        </r>
      </text>
    </comment>
  </commentList>
</comments>
</file>

<file path=xl/sharedStrings.xml><?xml version="1.0" encoding="utf-8"?>
<sst xmlns="http://schemas.openxmlformats.org/spreadsheetml/2006/main" count="498" uniqueCount="320">
  <si>
    <t xml:space="preserve">Implementation Plan</t>
  </si>
  <si>
    <t xml:space="preserve">Activity</t>
  </si>
  <si>
    <t xml:space="preserve"> Deliverable</t>
  </si>
  <si>
    <t xml:space="preserve">Milestone</t>
  </si>
  <si>
    <t xml:space="preserve">Legend: Activity = blue (col D) | D = Deliverable completed (green) | M = Milestone (amber). The implementation period is 36 months; all completion markers fall within Years 1-3 and Year 4 is not applicable.</t>
  </si>
  <si>
    <t xml:space="preserve">Please list all key activities under relevant Readiness Objective, Outcome and Output, in line with the Logical Framework (Logframe). Indicate the timeline of activities, including when each milestone or deliverable is expected to be achieved or completed</t>
  </si>
  <si>
    <t xml:space="preserve">Please add rows as necessary and delete rows that are not relevant to the proposal.
</t>
  </si>
  <si>
    <t xml:space="preserve">Objectives</t>
  </si>
  <si>
    <t xml:space="preserve">Outcomes</t>
  </si>
  <si>
    <t xml:space="preserve">Outputs</t>
  </si>
  <si>
    <t xml:space="preserve">Activities
list all key activities that contribute to the achievement of the deliverables</t>
  </si>
  <si>
    <t xml:space="preserve">Year 1</t>
  </si>
  <si>
    <t xml:space="preserve">Year 2</t>
  </si>
  <si>
    <t xml:space="preserve">Year 3</t>
  </si>
  <si>
    <t xml:space="preserve">Not applicable — programme ends at Month 36</t>
  </si>
  <si>
    <t xml:space="preserve">Q1</t>
  </si>
  <si>
    <t xml:space="preserve">Q2</t>
  </si>
  <si>
    <t xml:space="preserve">Q3</t>
  </si>
  <si>
    <t xml:space="preserve">Q4</t>
  </si>
  <si>
    <t xml:space="preserve">N/A</t>
  </si>
  <si>
    <t xml:space="preserve">Objective 1
Capacity-building for climate finance coordination and setting up the enabling environment for integrated climate investment</t>
  </si>
  <si>
    <t xml:space="preserve">Outcome 1.1
Developing countries, through NDAs or focal points, have enhanced capacity to fulfil their roles, responsibilities and policy requirements, including coordination mechanisms to engage relevant stakeholders to develop, advance, and implement NDCs, NAPs and LTS</t>
  </si>
  <si>
    <t xml:space="preserve">Output 1.1.1
NDA/focal point and other climate stakeholders have enhanced their capacity to fulfil their roles and responsibilities to develop, advance and implement NDCs, NAPs and LTSs</t>
  </si>
  <si>
    <t xml:space="preserve">1-1-1.a. Develop and operationalize the NDA four-year strategic and operational </t>
  </si>
  <si>
    <t xml:space="preserve">1-1-1.b. Establish a functional operational system for the NDA Secretariat </t>
  </si>
  <si>
    <t xml:space="preserve">1-1-1.c. Conduct an institutional assessment of climate coordination capacities </t>
  </si>
  <si>
    <t xml:space="preserve">1-1-1.d. Roll out a modular capacity-building programme </t>
  </si>
  <si>
    <t xml:space="preserve">M</t>
  </si>
  <si>
    <t xml:space="preserve">D</t>
  </si>
  <si>
    <t xml:space="preserve">Output 1.1.2 
An inclusive Coordination Mechanism has enhanced capacity to fulfill its mandate to develop, advance and implement NDCs, NAPs and LTSs</t>
  </si>
  <si>
    <t xml:space="preserve">1-1-2.a. Establish and institutionalize the National Climate Finance Coordination Platform </t>
  </si>
  <si>
    <t xml:space="preserve">1-1-2.b. Formalize the participation of the Ministry of Economy and Finance </t>
  </si>
  <si>
    <t xml:space="preserve">1-1-2.c. Formalize the participation of the Central Bank </t>
  </si>
  <si>
    <t xml:space="preserve">1-1-2.d. Establish a standardized coordination, screening, prioritization and no-objection process </t>
  </si>
  <si>
    <t xml:space="preserve">1-1-2.e. Organize periodic dialogues with financial actors and climate partners</t>
  </si>
  <si>
    <t xml:space="preserve">Outcome 1.2
Developing countries design and implement strategic frameworks (including NDC/NAP/LTS), policies and instruments, including climate investment plans, to create enabling environments for integrated climate investments</t>
  </si>
  <si>
    <t xml:space="preserve">Output 1.2.1 
Inclusive strategic frameworks (NDCs, NAPs, and LTSs) and policy instruments are created, updated and/or strengthened</t>
  </si>
  <si>
    <t xml:space="preserve">1-2- 1.a. Develop a national climate finance roadmap </t>
  </si>
  <si>
    <t xml:space="preserve">1-2-1.b. Establish an executive mechanism for tracking climate finance </t>
  </si>
  <si>
    <t xml:space="preserve">1-2-1.c. Develop a preliminary green taxonomy </t>
  </si>
  <si>
    <t xml:space="preserve">1-2-1.d. Design risk-reduction mechanisms </t>
  </si>
  <si>
    <t xml:space="preserve">1-2-1.e. Develop sectoral climate investment roadmaps </t>
  </si>
  <si>
    <t xml:space="preserve">Outcome 1.3
Direct access applicants and accredited entities (DAEs) have met and maintained the accreditation standards of the GCF and strengthened their programming capacities, as evidenced by the development of GCF-funded activities</t>
  </si>
  <si>
    <t xml:space="preserve">Output 1.3.1
Institutional gaps of direct access applicants and accredited entities (DAEs) are addressed to obtain and/or maintain accreditation</t>
  </si>
  <si>
    <t xml:space="preserve">1-3-1.a. Individualized gap assessments for ANAFIC and Access Bank </t>
  </si>
  <si>
    <t xml:space="preserve">1-3-1.b. Review and adopt internal policies required for GCF compliance, supported by an embedded accreditation technical advisor</t>
  </si>
  <si>
    <t xml:space="preserve">1-3-1.c. Translate future GCF Panel conditions into post-accreditation action plans</t>
  </si>
  <si>
    <t xml:space="preserve">1-3-1.d. Establish internal GCF units in each candidate entity. </t>
  </si>
  <si>
    <t xml:space="preserve">1-3-1.e. Organize project clinics and targeted coaching for candidate entities</t>
  </si>
  <si>
    <t xml:space="preserve">1-3-1.f. Conduct system stress-testing and strengthen reporting connected to the NDA </t>
  </si>
  <si>
    <t xml:space="preserve">Objective 2
Paradigm-shifting GCF pipeline development and implementation for adaptation and mitigation, based on country needs and guided by USP-2
programming targets</t>
  </si>
  <si>
    <t xml:space="preserve">Outcome 2.1
Developing countries have developed or updated their country programmes to guide GCF investment</t>
  </si>
  <si>
    <t xml:space="preserve">Output 2.1.1
An inclusive Country Programme has articulated the country’s needs and climate priorities1</t>
  </si>
  <si>
    <t xml:space="preserve">2-1-1.a. Not budgeted as a standalone activity</t>
  </si>
  <si>
    <t xml:space="preserve">2-1-1.b. Not budgeted as a standalone activity. </t>
  </si>
  <si>
    <t xml:space="preserve">2-1-1.c. Not budgeted as a standalone activity</t>
  </si>
  <si>
    <t xml:space="preserve">D8 removed (no budget)</t>
  </si>
  <si>
    <t xml:space="preserve">Outcome 2.2
Developing countries have developed high-quality Concept Notes linked to approved GCF proposals for adaptation and mitigation that are aligned with the USP-2 results (including through DAEs, that build on readiness support and Country Programmes)</t>
  </si>
  <si>
    <t xml:space="preserve">Output 2.2.1
NDA, DAEs and other climate stakeholders, have enhanced their capacity on Concept Note and/or Funding Proposal development for an inclusive integrated climate programming1
</t>
  </si>
  <si>
    <t xml:space="preserve">2-2-1.a. Roll out a practical climate project preparation programme </t>
  </si>
  <si>
    <t xml:space="preserve">2-2-1.b. Organize pipeline maturation clinics</t>
  </si>
  <si>
    <t xml:space="preserve">2-2-1.c. Conduct the necessary pre-feasibility studies and technical analyses</t>
  </si>
  <si>
    <t xml:space="preserve">Output 2.2.2
Investment-grade Concept Notes and submission-ready Funding Proposals aligned with national priorities; GCF screening status reported separately</t>
  </si>
  <si>
    <t xml:space="preserve">2-2-2.a. Develop five firm-developed investment-grade Concept Notes (CNs)</t>
  </si>
  <si>
    <t xml:space="preserve">2-2-2.b. Prepare three Funding Proposals (FPs) and submit them for GCF screening, subject to NDA validation</t>
  </si>
  <si>
    <t xml:space="preserve">2-2-2.c. Establish a quality screening process before submission</t>
  </si>
  <si>
    <t xml:space="preserve">Outcome 2.3
NDAs and DAEs have enhanced processes and systems to effectively oversee the implementation, financial management, monitoring and reporting of climate programmes and projects</t>
  </si>
  <si>
    <t xml:space="preserve">Output 2.3.1
NDA and DAEs have enhanced relevant capacity, processes and systems in place to design, oversee and implement climate programmes and projects</t>
  </si>
  <si>
    <t xml:space="preserve">2-3-1.a. Establish a national ESS, gender and fiduciary compliance gateway </t>
  </si>
  <si>
    <t xml:space="preserve">2-3-1.b. Develop a national climate finance portfolio dashboard </t>
  </si>
  <si>
    <t xml:space="preserve">2-3-1.c. Strengthen the reporting systems of ANAFIC and Access Bank Guinea </t>
  </si>
  <si>
    <t xml:space="preserve">2-3-1.d. Establish a national continuous capacity-building programme for candidate direct access entities and accredited entities, where applicable</t>
  </si>
  <si>
    <t xml:space="preserve">Objective 3
Knowledge-sharing and learning to enhance national and regional cooperation on climate programming and financing</t>
  </si>
  <si>
    <t xml:space="preserve">Outcome 3.1
Developing countries, through NDAs or focal points, have made use of knowledge products to address policy gaps and integrated climate investment programming and implementation</t>
  </si>
  <si>
    <t xml:space="preserve">Output 3.1.1
Climate knowledge products and resources are generated and disseminated to develop or advance policies, programming and/or implementation</t>
  </si>
  <si>
    <t xml:space="preserve">3-1-1.a. Roll out a national climate knowledge management portal </t>
  </si>
  <si>
    <t xml:space="preserve">3-1-1.b. Produce policy briefs and knowledge capitalization products </t>
  </si>
  <si>
    <t xml:space="preserve">3-1-1.c. Organize annual knowledge-sharing forums</t>
  </si>
  <si>
    <t xml:space="preserve">Output 3.2.1
Regional or South-South partnerships, programmes, policies, MOUs and/or collaboration mechanisms established among developing countries, including through their DAEs</t>
  </si>
  <si>
    <t xml:space="preserve">3-2-1.a. Formalize South-South partnerships on climate finance and </t>
  </si>
  <si>
    <t xml:space="preserve">3-2-1.b. Participate in regional communities of practice on climate finance </t>
  </si>
  <si>
    <t xml:space="preserve">3-2-1.c. Develop a regional or cross-border climate initiative </t>
  </si>
  <si>
    <t xml:space="preserve">1 Readiness funds can be leveraged to enhance country programming beyond the Green Climate Fund, including improving access to wider sources of climate finance.</t>
  </si>
  <si>
    <t xml:space="preserve">Budget Plan</t>
  </si>
  <si>
    <t xml:space="preserve">Please specify the Budget Categories for each Deliverable that will trigger payments. Please add rows as required and skip rows that are not relevant. Additional budget categories may be added by manually typing them on the Budget Category sheet.</t>
  </si>
  <si>
    <t xml:space="preserve">Deliverables
choose from the drop-down list</t>
  </si>
  <si>
    <t xml:space="preserve">Milestones
list all relevant milestones
press Alt + Enter to add a new line</t>
  </si>
  <si>
    <t xml:space="preserve">Detailed Budget (in US$)</t>
  </si>
  <si>
    <t xml:space="preserve">Total Budget
per objective</t>
  </si>
  <si>
    <t xml:space="preserve">Total budget % per objective</t>
  </si>
  <si>
    <t xml:space="preserve">Executing Entity</t>
  </si>
  <si>
    <t xml:space="preserve">Budget notes</t>
  </si>
  <si>
    <t xml:space="preserve">Budget Categories
choose from the drop-down list</t>
  </si>
  <si>
    <t xml:space="preserve">Unit</t>
  </si>
  <si>
    <t xml:space="preserve"># of Unit</t>
  </si>
  <si>
    <t xml:space="preserve">Unit Cost</t>
  </si>
  <si>
    <t xml:space="preserve">Total Budget
per budget category</t>
  </si>
  <si>
    <t xml:space="preserve">Total Budget
per deliverable</t>
  </si>
  <si>
    <t xml:space="preserve">Total Budget
per outcome</t>
  </si>
  <si>
    <t xml:space="preserve">Objective 1
Capacity-building for 
climate finance 
coordination and setting 
up the enabling 
environment for integrated 
climate investment
Target budget: 30%</t>
  </si>
  <si>
    <t xml:space="preserve">Outcome 1.1 
Developing countries, through NDAs or focal points, have enhanced capacity to fulfil their roles, responsibilities and policy requirements, including coordination mechanisms to engage relevant stakeholders2 to develop,  advance, and implement NDCs, NAPs and LTS</t>
  </si>
  <si>
    <t xml:space="preserve">D1. Status report on capacity building of NDA and climate stakeholders</t>
  </si>
  <si>
    <t xml:space="preserve">M1.1 NDA four-year strategic &amp; operational plan adopted
M1.2 NDA Secretariat operational system established
M1.3 Institutional capacity assessment of climate coordination completed
M1.4 Modular capacity-building programme delivered</t>
  </si>
  <si>
    <t xml:space="preserve">Consultant - Individual - International</t>
  </si>
  <si>
    <t xml:space="preserve">Day</t>
  </si>
  <si>
    <t xml:space="preserve">A</t>
  </si>
  <si>
    <t xml:space="preserve">Consultant - Individual - Local</t>
  </si>
  <si>
    <t xml:space="preserve">B</t>
  </si>
  <si>
    <t xml:space="preserve">Professional Services – Companies/Firm</t>
  </si>
  <si>
    <t xml:space="preserve">Lumpsum</t>
  </si>
  <si>
    <t xml:space="preserve">C</t>
  </si>
  <si>
    <t xml:space="preserve">Workshop/Training </t>
  </si>
  <si>
    <t xml:space="preserve">Event</t>
  </si>
  <si>
    <t xml:space="preserve">D2. Status report on country coordination mechanism, country (or regional) platform for enhanced climate finance access to develop, advance, and implement NDCs, NAPs and LTS</t>
  </si>
  <si>
    <t xml:space="preserve">M2.1 National Climate Finance Coordination Platform established &amp; institutionalized
M2.2 MEF participation formalized
M2.3 Central Bank participation formalized
M2.4 Standardized screening/no-objection process &amp; periodic dialogues</t>
  </si>
  <si>
    <t xml:space="preserve">Communication </t>
  </si>
  <si>
    <t xml:space="preserve">D3. Status report on the national adaptation plan (NAP)</t>
  </si>
  <si>
    <t xml:space="preserve">M3.1 NAP diagnostic &amp; documentation completed
M3.2 NAP validation workshop &amp; status report</t>
  </si>
  <si>
    <t xml:space="preserve">Audio Visual &amp; Printing</t>
  </si>
  <si>
    <t xml:space="preserve">D4. Status report on the nationally determined contribution (NDC)</t>
  </si>
  <si>
    <t xml:space="preserve">M4.1 NDC analysis &amp; international expert input completed
M4.2 NDC multi-stakeholder validation &amp; status report</t>
  </si>
  <si>
    <t xml:space="preserve">D5. Status report on the long term climate strategies (LTS)</t>
  </si>
  <si>
    <t xml:space="preserve">M5.1 LTS documentation &amp; consultancy completed
M5.2 LTS validation workshop &amp; status report</t>
  </si>
  <si>
    <t xml:space="preserve">D6. Status report on policies, regulations and mechanisms developed or enhanced to incentivize private sector engagement</t>
  </si>
  <si>
    <t xml:space="preserve">M6.1 Sectoral climate investment roadmaps &amp; policy analysis
M6.2 Risk-reduction / green-taxonomy instruments developed
M6.3 Sectoral validation workshops &amp; status report</t>
  </si>
  <si>
    <t xml:space="preserve">Outcome 1.3  
Direct access applicants and accredited entities (DAEs) have met and maintained the accreditation standards of the GCF and strengthened their programming capacities, as evidenced by the development of GCF-funded activities</t>
  </si>
  <si>
    <t xml:space="preserve">D7. Status report on capacity building of direct access applicants and accredited entities to meet GCF accreditation requirements</t>
  </si>
  <si>
    <t xml:space="preserve">M7.1 Gap assessments for ANAFIC &amp; Access Bank Guinea completed
M7.2 Internal GCF units, policies &amp; post-accreditation action plans adopted
M7.3 Project clinics, system stress-testing &amp; status report</t>
  </si>
  <si>
    <t xml:space="preserve">Objective 2 
Paradigm shifting GCF pipeline 
development and 
implementation for 
adaptation and mitigation, 
based on country needs 
and guided by USP-2
programming targets
Target budget: 60%</t>
  </si>
  <si>
    <t xml:space="preserve">Outcome 2.1 
Developing countries have developed or updated their country programmes to guide GCF investment. </t>
  </si>
  <si>
    <t xml:space="preserve">D8. Country Programme Document</t>
  </si>
  <si>
    <t xml:space="preserve">G</t>
  </si>
  <si>
    <t xml:space="preserve">Outcome 2.2
Developing countries have developed high-quality concept notes linked to approved GCF proposals for adaptation and mitigation that are aligned with the USP-2 results, including through DAEs, that build on readiness support and country programmes</t>
  </si>
  <si>
    <t xml:space="preserve">D9. Concept Note(s), and studies, assessment, reports, etc. to support the development of investment-grade Concept Notes</t>
  </si>
  <si>
    <t xml:space="preserve">M9.1 Pipeline maturation clinics &amp; pre-feasibility studies
M9.2 Five firm-developed investment-grade Concept Notes prepared
M9.3 CN quality-screening &amp; NDA validation</t>
  </si>
  <si>
    <t xml:space="preserve">Office Supplies</t>
  </si>
  <si>
    <t xml:space="preserve">D10. Funding Proposal(s), and studies, assessment, reports, etc. to support the development of investment-grade Funding Proposals</t>
  </si>
  <si>
    <t xml:space="preserve">M10.1 Feasibility, ESIA/ESS &amp; gender assessments
M10.2 Three fully-developed Funding Proposals prepared
M10.3 FP screening &amp; submission for GCF review</t>
  </si>
  <si>
    <t xml:space="preserve">Funding Proposal</t>
  </si>
  <si>
    <t xml:space="preserve">D11. Status report on capacity building of NDA and DAEs in project/ program design, implementation and oversight</t>
  </si>
  <si>
    <t xml:space="preserve">M11.1 National ESS/gender/fiduciary compliance gateway established
M11.2 National climate-finance portfolio dashboard operational
M11.3 Reporting systems of ANAFIC &amp; Access Bank strengthened
M11.4 Continuous capacity-building programme for DAEs</t>
  </si>
  <si>
    <t xml:space="preserve">Travel – Local</t>
  </si>
  <si>
    <t xml:space="preserve">Objective 3 
Knowledge-sharing and 
learning to enhance 
national and regional 
cooperation on climate 
programming and financing
Target budget: 10%</t>
  </si>
  <si>
    <t xml:space="preserve">D12. Knowledge Products / Compendium of Knowledge Products produced (Policies, Programme, NDC, NAP, LTS, L&amp;D, TNA and others related)</t>
  </si>
  <si>
    <t xml:space="preserve">M12.1 National climate knowledge-management portal established
M12.2 Policy briefs &amp; knowledge-capitalization products produced
M12.3 Annual knowledge-sharing forums held</t>
  </si>
  <si>
    <t xml:space="preserve">D13. Status report on the knowledge sharing events and knowledge sharing platform promoted</t>
  </si>
  <si>
    <t xml:space="preserve">M13.1 Knowledge-sharing events delivered
M13.2 Knowledge-sharing platform promoted &amp; status report</t>
  </si>
  <si>
    <t xml:space="preserve">Travel - International</t>
  </si>
  <si>
    <t xml:space="preserve">Trip</t>
  </si>
  <si>
    <t xml:space="preserve">Outcome 3.2 
Enhanced collaboration among developing countries on climate change issues, evidenced by transboundary and regional cooperations /South-South cooperation</t>
  </si>
  <si>
    <t xml:space="preserve">D14. Status report on the regional or South-South partnerships, programmes, policies, MOUs and/or collaboration mechanisms promoted</t>
  </si>
  <si>
    <t xml:space="preserve">M14.1 South-South partnerships with Morocco &amp; Senegal formalized
M14.2 Participation in regional communities of practice
M14.3 Regional/cross-border climate initiative developed &amp; status report</t>
  </si>
  <si>
    <t xml:space="preserve">Total Deliverable Budget</t>
  </si>
  <si>
    <t xml:space="preserve">Independent Evaluation</t>
  </si>
  <si>
    <t xml:space="preserve">Project Management Cost (PMC)
</t>
  </si>
  <si>
    <t xml:space="preserve">Audit Fee</t>
  </si>
  <si>
    <t xml:space="preserve">Per Year</t>
  </si>
  <si>
    <t xml:space="preserve">Actual amount and % of PMC requested
(do not change the formula)</t>
  </si>
  <si>
    <t xml:space="preserve">Maximum PMC that can be requested</t>
  </si>
  <si>
    <t xml:space="preserve">Per Month</t>
  </si>
  <si>
    <t xml:space="preserve">Summary per Budget Category</t>
  </si>
  <si>
    <t xml:space="preserve">Total per Budget Category</t>
  </si>
  <si>
    <t xml:space="preserve">Project Management Cost (PMC)</t>
  </si>
  <si>
    <t xml:space="preserve">requested</t>
  </si>
  <si>
    <t xml:space="preserve">Contingency</t>
  </si>
  <si>
    <t xml:space="preserve">Sub-Total  (Total Deliverable Budget + Evaluation + PMC + Contingency)</t>
  </si>
  <si>
    <t xml:space="preserve">Fee </t>
  </si>
  <si>
    <t xml:space="preserve">Total Project Budget</t>
  </si>
  <si>
    <t xml:space="preserve">Note: Please ensure that the amounts are rounded-up figures</t>
  </si>
  <si>
    <t xml:space="preserve">Total Budget for NAP</t>
  </si>
  <si>
    <t xml:space="preserve"> </t>
  </si>
  <si>
    <t xml:space="preserve">Disbursement Schedule</t>
  </si>
  <si>
    <t xml:space="preserve">Please provide an indicative disbursement schedule based on the percentage of each milestone budget against total budget for each deliverable. Ensure alignment with expected timelines in the implementation plan. 
Please add or delete rows as necessary.</t>
  </si>
  <si>
    <t xml:space="preserve">Deliverables and Milestones</t>
  </si>
  <si>
    <t xml:space="preserve">Budget</t>
  </si>
  <si>
    <t xml:space="preserve">%</t>
  </si>
  <si>
    <t xml:space="preserve">Y1</t>
  </si>
  <si>
    <t xml:space="preserve">Y2</t>
  </si>
  <si>
    <t xml:space="preserve">Y3</t>
  </si>
  <si>
    <t xml:space="preserve">N/A (36M)</t>
  </si>
  <si>
    <t xml:space="preserve">Cumulative</t>
  </si>
  <si>
    <t xml:space="preserve">   M1.1 NDA four-year strategic &amp; operational plan adopted</t>
  </si>
  <si>
    <t xml:space="preserve">   M1.2 NDA Secretariat operational system established</t>
  </si>
  <si>
    <t xml:space="preserve">   M1.3 Institutional capacity assessment completed</t>
  </si>
  <si>
    <t xml:space="preserve">   M1.4 Modular capacity-building programme delivered</t>
  </si>
  <si>
    <t xml:space="preserve">D2. Status report on country coordination mechanism / country platform</t>
  </si>
  <si>
    <t xml:space="preserve">   M2.1 National Climate Finance Coordination Platform established</t>
  </si>
  <si>
    <t xml:space="preserve">   M2.2 MEF participation formalized</t>
  </si>
  <si>
    <t xml:space="preserve">   M2.3 Central Bank participation formalized</t>
  </si>
  <si>
    <t xml:space="preserve">   M2.4 Standardized screening/no-objection process &amp; dialogues</t>
  </si>
  <si>
    <t xml:space="preserve">   M3.1 NAP diagnostic &amp; documentation completed</t>
  </si>
  <si>
    <t xml:space="preserve">   M3.2 NAP validation workshop &amp; status report</t>
  </si>
  <si>
    <t xml:space="preserve">   M4.1 NDC analysis &amp; international expert input completed</t>
  </si>
  <si>
    <t xml:space="preserve">   M4.2 NDC multi-stakeholder validation &amp; status report</t>
  </si>
  <si>
    <t xml:space="preserve">   M5.1 LTS documentation &amp; consultancy completed</t>
  </si>
  <si>
    <t xml:space="preserve">   M5.2 LTS validation workshop &amp; status report</t>
  </si>
  <si>
    <t xml:space="preserve">D6. Status report on policies/regulations to incentivize private sector engagement</t>
  </si>
  <si>
    <t xml:space="preserve">   M6.1 Sectoral climate investment roadmaps &amp; policy analysis</t>
  </si>
  <si>
    <t xml:space="preserve">   M6.2 Risk-reduction / green-taxonomy instruments developed</t>
  </si>
  <si>
    <t xml:space="preserve">   M6.3 Sectoral validation workshops &amp; status report</t>
  </si>
  <si>
    <t xml:space="preserve">D7. Status report on capacity building of direct access applicants and accredited entities</t>
  </si>
  <si>
    <t xml:space="preserve">   M7.1 Gap assessments for ANAFIC &amp; Access Bank completed</t>
  </si>
  <si>
    <t xml:space="preserve">   M7.2 Internal GCF units, policies &amp; action plans adopted</t>
  </si>
  <si>
    <t xml:space="preserve">   M7.3 Project clinics, stress-testing &amp; status report</t>
  </si>
  <si>
    <t xml:space="preserve">D9. Concept Note(s) and supporting studies for investment-grade Concept Notes</t>
  </si>
  <si>
    <t xml:space="preserve">   M9.1 Pipeline maturation clinics &amp; pre-feasibility studies</t>
  </si>
  <si>
    <t xml:space="preserve">   M9.2 Five firm-developed investment-grade Concept Notes prepared</t>
  </si>
  <si>
    <t xml:space="preserve">   M9.3 CN quality-screening &amp; NDA validation</t>
  </si>
  <si>
    <t xml:space="preserve">D10. Funding Proposal(s) and supporting studies for investment-grade Funding Proposals</t>
  </si>
  <si>
    <t xml:space="preserve">   M10.1 Feasibility, ESIA/ESS &amp; gender assessments</t>
  </si>
  <si>
    <t xml:space="preserve">   M10.2 Three fully-developed Funding Proposals prepared</t>
  </si>
  <si>
    <t xml:space="preserve">   M10.3 FP screening &amp; submission for GCF review</t>
  </si>
  <si>
    <t xml:space="preserve">D11. Status report on capacity building of NDA and DAEs in project/programme design &amp; oversight</t>
  </si>
  <si>
    <t xml:space="preserve">   M11.1 National ESS/gender/fiduciary compliance gateway established</t>
  </si>
  <si>
    <t xml:space="preserve">   M11.2 National climate-finance portfolio dashboard operational</t>
  </si>
  <si>
    <t xml:space="preserve">   M11.3 Reporting systems of ANAFIC &amp; Access Bank strengthened</t>
  </si>
  <si>
    <t xml:space="preserve">   M11.4 Continuous capacity-building programme for DAEs</t>
  </si>
  <si>
    <t xml:space="preserve">D12. Knowledge Products / Compendium of Knowledge Products produced</t>
  </si>
  <si>
    <t xml:space="preserve">   M12.1 National climate knowledge-management portal established</t>
  </si>
  <si>
    <t xml:space="preserve">   M12.2 Policy briefs &amp; knowledge-capitalization products produced</t>
  </si>
  <si>
    <t xml:space="preserve">   M12.3 Annual knowledge-sharing forums held</t>
  </si>
  <si>
    <t xml:space="preserve">D13. Status report on knowledge-sharing events and platform promoted</t>
  </si>
  <si>
    <t xml:space="preserve">   M13.1 Knowledge-sharing events delivered</t>
  </si>
  <si>
    <t xml:space="preserve">   M13.2 Knowledge-sharing platform promoted &amp; status report</t>
  </si>
  <si>
    <t xml:space="preserve">D14. Status report on regional / South-South partnerships and collaboration mechanisms</t>
  </si>
  <si>
    <t xml:space="preserve">   M14.1 South-South partnerships with Morocco &amp; Senegal formalized</t>
  </si>
  <si>
    <t xml:space="preserve">   M14.2 Participation in regional communities of practice</t>
  </si>
  <si>
    <t xml:space="preserve">   M14.3 Regional/cross-border climate initiative &amp; status report</t>
  </si>
  <si>
    <t xml:space="preserve">PMC</t>
  </si>
  <si>
    <t xml:space="preserve">Contingency </t>
  </si>
  <si>
    <t xml:space="preserve">Fee</t>
  </si>
  <si>
    <t xml:space="preserve">Total </t>
  </si>
  <si>
    <t xml:space="preserve">* Must clearly demonstrable link to Logframe</t>
  </si>
  <si>
    <t xml:space="preserve">Fee request budget</t>
  </si>
  <si>
    <t xml:space="preserve">N</t>
  </si>
  <si>
    <t xml:space="preserve">Currency:</t>
  </si>
  <si>
    <t xml:space="preserve">USD/EUR/Other (Please Specify including Forex rate used)</t>
  </si>
  <si>
    <t xml:space="preserve">Project/Program Implementation and Supervision</t>
  </si>
  <si>
    <t xml:space="preserve">Implementation Start-Up</t>
  </si>
  <si>
    <t xml:space="preserve">Appraising and finalizing project implementation arrangements, including mission travel</t>
  </si>
  <si>
    <t xml:space="preserve">Assisting and advising the project proponent on the establishment of project management structure in the recipient country</t>
  </si>
  <si>
    <t xml:space="preserve">Assisting project management to draft TORs and advising on the selection of experts for implementation</t>
  </si>
  <si>
    <t xml:space="preserve">Advising on and participating in project start-up workshop.</t>
  </si>
  <si>
    <t xml:space="preserve">Technical Supervision</t>
  </si>
  <si>
    <t xml:space="preserve">Conducting supervision missions, including briefing operational focal points on project progress</t>
  </si>
  <si>
    <t xml:space="preserve">Providing technical guidance, as necessary, for project implementation</t>
  </si>
  <si>
    <t xml:space="preserve">As necessary, technical consultants during supervision missions to advise government officials on technical matters and provide technical assistance for the project</t>
  </si>
  <si>
    <t xml:space="preserve">Overseeing procurement and financial management to ensure implementation is in line with AE’s policies and timeline</t>
  </si>
  <si>
    <t xml:space="preserve">Undertaking the mid-term review, including possible project restructuring</t>
  </si>
  <si>
    <t xml:space="preserve">Administrative Oversight</t>
  </si>
  <si>
    <t xml:space="preserve">Disbursing funds to the Executing entities/vendors and reviewing financial reports</t>
  </si>
  <si>
    <t xml:space="preserve">Assisting and overseeing the audit process throughout the project life cycle </t>
  </si>
  <si>
    <t xml:space="preserve">Overseeing the preparation of the required reports for submission to the GCF Secretariat</t>
  </si>
  <si>
    <t xml:space="preserve">Monitoring and reviewing project expenditure reports</t>
  </si>
  <si>
    <t xml:space="preserve">Preparing periodic revisions to reflect changes in annual expense category budgets</t>
  </si>
  <si>
    <t xml:space="preserve">Other (please specify):</t>
  </si>
  <si>
    <t xml:space="preserve">Project/Program Completion and Evaluation</t>
  </si>
  <si>
    <t xml:space="preserve">Program closure</t>
  </si>
  <si>
    <t xml:space="preserve">Preparing project closing documents for submission to GCF Secretariat</t>
  </si>
  <si>
    <t xml:space="preserve">Preparing the financial closure of the project for submission to GCF Secretariat</t>
  </si>
  <si>
    <t xml:space="preserve">Reporting and Evaluation</t>
  </si>
  <si>
    <t xml:space="preserve">Overseeing the preparation of the Project Completion Report/Independent Terminal Evaluation, submitting the report to the GCF Secretariat</t>
  </si>
  <si>
    <t xml:space="preserve">Reporting, as required under Agreement </t>
  </si>
  <si>
    <t xml:space="preserve">Reporting requirements as agreed in the agreement</t>
  </si>
  <si>
    <t xml:space="preserve">Total</t>
  </si>
  <si>
    <t xml:space="preserve">Fee Percentage</t>
  </si>
  <si>
    <t xml:space="preserve">All fee activities and payments are phased within Years 1-3 of the confirmed 36-month implementation period.</t>
  </si>
  <si>
    <t xml:space="preserve">* Budget lines are indicative of the level of detail requested. Categories may be added/removed as relevant to each project.</t>
  </si>
  <si>
    <t xml:space="preserve">Budget Categories</t>
  </si>
  <si>
    <t xml:space="preserve">Choose percentage</t>
  </si>
  <si>
    <t xml:space="preserve">Budget Notes</t>
  </si>
  <si>
    <t xml:space="preserve">Please check out the example in the table below, and remove them before including the proposal's entries</t>
  </si>
  <si>
    <t xml:space="preserve">Budget Note</t>
  </si>
  <si>
    <t xml:space="preserve">Detailed Description</t>
  </si>
  <si>
    <t xml:space="preserve">International Consultants — senior GCF accreditation / DAE expert (D7): budgeted at the confirmed USD 500/day benchmark, 80 days = USD 40,000. Supports institutional diagnostics for NDA-validated candidate entities (ANAFIC and Access Bank Guinea, subject to GCF Accreditation Team confirmation), preparation of documentation aligned with GCF governance, ESMS, gender and financial-management standards, and responses to Secretariat observations. Additional international inputs at USD 500/day are budgeted under D4 (NDC), D6 (private-sector policy), D9 (Concept Notes) and D10 (Funding Proposals).</t>
  </si>
  <si>
    <t xml:space="preserve">Local Consultants — the local consultant rate is standardised at USD 350/day across every deliverable (previously USD 350–400/day), consistent with the Guinean market. Illustrative local inputs: D7 accreditation support 120 days x USD 350 = USD 42,000; D1 capacity-building 150 days; D9 Concept Notes 80 days; D10 Funding Proposals 170 days; D11 systems and oversight 200 days. Local consultants cover data collection, deliverable preparation, validation workshops and support to concept notes and funding proposals. The National Project Management Coordinator (PMC) provides operational supervision over 36 months at USD 4,000/month = USD 144,000; with external audit (USD 15,000) and financial-management/reporting support (USD 9,000), total PMC is USD 168,000, i.e. 7.43% of the deliverables-plus-evaluation base — within the 7.5% Readiness threshold. Deliverable budgets have been rebalanced to the 30% / 60% / 10% split across Objectives 1, 2 and 3.</t>
  </si>
  <si>
    <t xml:space="preserve">Professional Services (firms) — awarded through competitive procurement consistent with GCF and national procedures. Final firm packages: D7 accreditation-support firm USD 100,000 (embedded advisory, fiduciary and institutional gap assessment covering governance, ESMS, gender, audit and financial management); D2 coordination support USD 45,000; D9 five firm-developed concept-note packages USD 150,000; D10 three fully-developed Funding Proposals USD 510,000; D11 systems build (national ESS/gender/fiduciary gateway, portfolio dashboard, entity reporting systems) USD 268,000; D12 knowledge products USD 65,000; plus smaller firm inputs under D1, D3, D4, D5 and D14. See Notes H and L for the D9 and D10 composition.</t>
  </si>
  <si>
    <t xml:space="preserve">Workshops and Events — delivered across the three programme years. D1 (NDA/stakeholder capacity): 6 workshops x USD 4,500 = USD 27,000. D7 (accreditation): 4 institutional workshops x USD 4,500 = USD 18,000 — (i) GCF-requirements launch and awareness, (ii) gap-assessment validation, (iii) ESMS and gender training for candidate entities, (iv) pre-submission review and GCF interview simulation. D2 (Coordination Platform): 6 workshops x USD 5,000 = USD 30,000. D6 (private-sector policy): 3 sectoral validation workshops x USD 10,000 = USD 30,000. D12: 2 knowledge events x USD 10,000. D13: 3 knowledge-sharing events x USD 10,000. D14: 1 regional event x USD 15,000. Single validation workshops are also budgeted under D3, D4 and D5. Each workshop covers venue, learning materials, facilitation fees and participant travel.</t>
  </si>
  <si>
    <t xml:space="preserve">E</t>
  </si>
  <si>
    <t xml:space="preserve">Deliverables D3/D4/D5 — status reports on Guinea's national climate-planning instruments. D3 (NAP): USD 30,000 — local consultancy, documentation and validation workshop. D4 (NDC): USD 45,000 — international expert input at USD 500/day, local consultancy, analysis and multi-stakeholder workshop. D5 (LTS): USD 25,000 — local consultancy, documentation and workshop. Concentrated in years 1 and 2, these deliverables align the programme with national planning instruments and GCF programming priorities.</t>
  </si>
  <si>
    <t xml:space="preserve">F</t>
  </si>
  <si>
    <t xml:space="preserve">International consultant rate — USD 500/day. All international consultant lines are set at USD 500/day, in full alignment with GCF comment #5 and the international rate approved for Guinea in 2025.</t>
  </si>
  <si>
    <t xml:space="preserve">D8 Country Programme — removed. Per GCF comment on Outcome 2.1.1, the standalone Country Programme update is no longer recommended. Its function is absorbed into Output 1.1.2 (National Climate Finance Coordination Platform) and Output 1.2.1 (Climate Finance Roadmap). No budget is allocated to D8; the row is retained blank so that the Objective 2 total (column L) formula remains intact.</t>
  </si>
  <si>
    <t xml:space="preserve">H</t>
  </si>
  <si>
    <t xml:space="preserve">D9 Concept Notes — USD 228,000 (5 firm-developed, investment-grade CNs). Composition: five firm-developed CN packages USD 150,000; international structuring 40 days x USD 500 = USD 20,000; local expertise 80 days x USD 350 = USD 28,000; office/logistics USD 30,000. Approx. USD 45,600 per CN — within the ~USD 50,000 firm-CN benchmark.</t>
  </si>
  <si>
    <t xml:space="preserve">I</t>
  </si>
  <si>
    <t xml:space="preserve">PMC — USD 168,000 (7.43% of the deliverables-plus-evaluation base of USD 2,260,000, i.e. within the 7.5% indicative Readiness threshold). Itemisation: external audit USD 15,000 (3 annual audits); National Project Management Coordinator USD 144,000 (36 months x USD 4,000); financial management and reporting USD 9,000. PMC is 100% GCF-financed, consistent with the 100% GCF grant share.</t>
  </si>
  <si>
    <t xml:space="preserve">J</t>
  </si>
  <si>
    <t xml:space="preserve">Support-cost logic (GCF template). Contingency = 3% of (deliverables + evaluation) = 3% x USD 2,260,000 = USD 67,800. Sub-total (deliverables + evaluation + PMC + contingency) = USD 2,495,800. Fee = 5% of the sub-total = USD 124,790. TOTAL REQUEST = USD 2,620,590. The deliverable budget is rebalanced to 30% / 60% / 10% across Objectives 1–3. The revised total reduces the overage above the indicative USD 2,500,000 Readiness ceiling to USD 120,590 (from USD 268,488); the NDA has validated submission of the package. If the Secretariat determines that any D10 full Funding Proposal preparation should be treated under the Project Preparation Facility, the NDA will work with GCF to adjust the financing route without affecting the integrity of the remaining Readiness package.</t>
  </si>
  <si>
    <t xml:space="preserve">K</t>
  </si>
  <si>
    <t xml:space="preserve">Independent Evaluation — USD 60,000, aligned with typical independent final-evaluation costs for a 36-month Readiness grant. (This corrects a residual USD 10,000 value carried in the working file; USD 60,000 is the reconciled figure.)</t>
  </si>
  <si>
    <t xml:space="preserve">L</t>
  </si>
  <si>
    <t xml:space="preserve">D10 Funding Proposals — USD 700,000 (3 fully-developed, submission-ready Funding Proposals; ~USD 233,000 each). Each FP covers feasibility, environmental &amp; social impact assessment (ESIA/ESS), gender assessment, economic/financial analysis and technical design. Composition: professional services/firms USD 510,000 (3 x USD 170,000); international consultants 240 days x USD 500 = USD 120,000; local consultants 170 days x USD 350 = USD 59,500; office/logistics USD 10,500. Full development of three Funding Proposals is ambitious for a Readiness grant and may fall under the Project Preparation Facility (PPF); the NDA has validated the package and will work with GCF on any Readiness/PPF split during review.</t>
  </si>
  <si>
    <t xml:space="preserve">Objective rebalancing — the deliverable budget is set to Objective 1 = 30% (USD 660,000), Objective 2 = 60% (USD 1,320,000) and Objective 3 = 10% (USD 220,000), total USD 2,200,000. Shares are computed on the 'Total budget % per objective' column, which allocates evaluation, PMC, contingency and fee proportionally to each objective's deliverable budget.</t>
  </si>
  <si>
    <t xml:space="preserve">List of Deliverables</t>
  </si>
  <si>
    <t xml:space="preserve">Outcome</t>
  </si>
  <si>
    <t xml:space="preserve">Deliverable Number</t>
  </si>
  <si>
    <t xml:space="preserve">Deliverable Title</t>
  </si>
  <si>
    <t xml:space="preserve">Outcome 1.1</t>
  </si>
  <si>
    <t xml:space="preserve">D1</t>
  </si>
  <si>
    <t xml:space="preserve">D2</t>
  </si>
  <si>
    <t xml:space="preserve">Outcome 1.2</t>
  </si>
  <si>
    <t xml:space="preserve">D3</t>
  </si>
  <si>
    <t xml:space="preserve">D4</t>
  </si>
  <si>
    <t xml:space="preserve">D5</t>
  </si>
  <si>
    <t xml:space="preserve">D6</t>
  </si>
  <si>
    <t xml:space="preserve">Outcome 1.3</t>
  </si>
  <si>
    <t xml:space="preserve">D7</t>
  </si>
  <si>
    <t xml:space="preserve">Outcome 2.1</t>
  </si>
  <si>
    <t xml:space="preserve">D8</t>
  </si>
  <si>
    <t xml:space="preserve">Outcome 2.2</t>
  </si>
  <si>
    <t xml:space="preserve">D9</t>
  </si>
  <si>
    <t xml:space="preserve">D10</t>
  </si>
  <si>
    <t xml:space="preserve">Outcome 2.3</t>
  </si>
  <si>
    <t xml:space="preserve">D11</t>
  </si>
  <si>
    <t xml:space="preserve">Outcome 3.1</t>
  </si>
  <si>
    <t xml:space="preserve">D12</t>
  </si>
  <si>
    <t xml:space="preserve">D13</t>
  </si>
  <si>
    <t xml:space="preserve">Outcome 3.2</t>
  </si>
  <si>
    <t xml:space="preserve">D14</t>
  </si>
</sst>
</file>

<file path=xl/styles.xml><?xml version="1.0" encoding="utf-8"?>
<styleSheet xmlns="http://schemas.openxmlformats.org/spreadsheetml/2006/main">
  <numFmts count="11">
    <numFmt numFmtId="164" formatCode="General"/>
    <numFmt numFmtId="165" formatCode="_ * #,##0.00_ ;_ * \-#,##0.00_ ;_ * \-??_ ;_ @_ "/>
    <numFmt numFmtId="166" formatCode="_(* #,##0.00_);_(* \(#,##0.00\);_(* \-??_);_(@_)"/>
    <numFmt numFmtId="167" formatCode="0%"/>
    <numFmt numFmtId="168" formatCode="_(* #,##0_);_(* \(#,##0\);_(* \-??_);_(@_)"/>
    <numFmt numFmtId="169" formatCode="#,##0.00"/>
    <numFmt numFmtId="170" formatCode="0.00%"/>
    <numFmt numFmtId="171" formatCode="0.0%"/>
    <numFmt numFmtId="172" formatCode="_([$$-409]* #,##0.00_);_([$$-409]* \(#,##0.00\);_([$$-409]* \-??_);_(@_)"/>
    <numFmt numFmtId="173" formatCode="_(* #,##0.0000000_);_(* \(#,##0.0000000\);_(* \-??_);_(@_)"/>
    <numFmt numFmtId="174" formatCode="@"/>
  </numFmts>
  <fonts count="85">
    <font>
      <sz val="10"/>
      <name val="Arial"/>
      <family val="2"/>
      <charset val="1"/>
    </font>
    <font>
      <sz val="10"/>
      <name val="Arial"/>
      <family val="0"/>
    </font>
    <font>
      <sz val="10"/>
      <name val="Arial"/>
      <family val="0"/>
    </font>
    <font>
      <sz val="10"/>
      <name val="Arial"/>
      <family val="0"/>
    </font>
    <font>
      <sz val="11"/>
      <color theme="1"/>
      <name val="Calibri"/>
      <family val="0"/>
      <charset val="1"/>
    </font>
    <font>
      <sz val="11"/>
      <color theme="0"/>
      <name val="Calibri"/>
      <family val="0"/>
      <charset val="1"/>
    </font>
    <font>
      <sz val="11"/>
      <color rgb="FF9C0006"/>
      <name val="Calibri"/>
      <family val="0"/>
      <charset val="1"/>
    </font>
    <font>
      <b val="true"/>
      <sz val="11"/>
      <color rgb="FFFA7D00"/>
      <name val="Calibri"/>
      <family val="0"/>
      <charset val="1"/>
    </font>
    <font>
      <b val="true"/>
      <sz val="11"/>
      <color rgb="FFFFFFFF"/>
      <name val="Calibri"/>
      <family val="0"/>
      <charset val="1"/>
    </font>
    <font>
      <sz val="10"/>
      <name val="Arial"/>
      <family val="0"/>
      <charset val="1"/>
    </font>
    <font>
      <i val="true"/>
      <sz val="11"/>
      <color rgb="FF7F7F7F"/>
      <name val="Calibri"/>
      <family val="0"/>
      <charset val="1"/>
    </font>
    <font>
      <sz val="11"/>
      <color rgb="FF800080"/>
      <name val="Calibri"/>
      <family val="0"/>
      <charset val="1"/>
    </font>
    <font>
      <sz val="11"/>
      <color rgb="FF006100"/>
      <name val="Calibri"/>
      <family val="0"/>
      <charset val="1"/>
    </font>
    <font>
      <b val="true"/>
      <sz val="15"/>
      <color theme="3"/>
      <name val="Calibri"/>
      <family val="0"/>
      <charset val="1"/>
    </font>
    <font>
      <b val="true"/>
      <sz val="13"/>
      <color theme="3"/>
      <name val="Calibri"/>
      <family val="0"/>
      <charset val="1"/>
    </font>
    <font>
      <b val="true"/>
      <sz val="11"/>
      <color theme="3"/>
      <name val="Calibri"/>
      <family val="0"/>
      <charset val="1"/>
    </font>
    <font>
      <sz val="11"/>
      <color rgb="FF3F3F76"/>
      <name val="Calibri"/>
      <family val="0"/>
      <charset val="1"/>
    </font>
    <font>
      <sz val="11"/>
      <color rgb="FF0000FF"/>
      <name val="Calibri"/>
      <family val="0"/>
      <charset val="1"/>
    </font>
    <font>
      <sz val="11"/>
      <color rgb="FFFA7D00"/>
      <name val="Calibri"/>
      <family val="0"/>
      <charset val="1"/>
    </font>
    <font>
      <sz val="11"/>
      <color rgb="FF9C6500"/>
      <name val="Calibri"/>
      <family val="0"/>
      <charset val="1"/>
    </font>
    <font>
      <b val="true"/>
      <sz val="11"/>
      <color rgb="FF3F3F3F"/>
      <name val="Calibri"/>
      <family val="0"/>
      <charset val="1"/>
    </font>
    <font>
      <b val="true"/>
      <sz val="18"/>
      <color theme="3"/>
      <name val="Calibri"/>
      <family val="0"/>
      <charset val="1"/>
    </font>
    <font>
      <b val="true"/>
      <sz val="11"/>
      <color theme="1"/>
      <name val="Calibri"/>
      <family val="0"/>
      <charset val="1"/>
    </font>
    <font>
      <sz val="11"/>
      <color rgb="FFFF0000"/>
      <name val="Calibri"/>
      <family val="0"/>
      <charset val="1"/>
    </font>
    <font>
      <sz val="10"/>
      <name val="Arial"/>
      <family val="2"/>
    </font>
    <font>
      <b val="true"/>
      <sz val="16"/>
      <color rgb="FF009337"/>
      <name val="Arial"/>
      <family val="0"/>
      <charset val="1"/>
    </font>
    <font>
      <sz val="8"/>
      <color rgb="FF000000"/>
      <name val="Calibri"/>
      <family val="0"/>
      <charset val="1"/>
    </font>
    <font>
      <b val="true"/>
      <sz val="11"/>
      <color rgb="FFFFFFFF"/>
      <name val="Cambria"/>
      <family val="0"/>
      <charset val="1"/>
    </font>
    <font>
      <b val="true"/>
      <sz val="14"/>
      <color rgb="FF276E8B"/>
      <name val="Arial"/>
      <family val="0"/>
      <charset val="1"/>
    </font>
    <font>
      <sz val="8"/>
      <color theme="1" tint="0.3499"/>
      <name val="Arial"/>
      <family val="0"/>
      <charset val="1"/>
    </font>
    <font>
      <i val="true"/>
      <sz val="9"/>
      <color theme="1"/>
      <name val="Calibri"/>
      <family val="0"/>
      <charset val="1"/>
    </font>
    <font>
      <b val="true"/>
      <sz val="10"/>
      <color theme="0"/>
      <name val="Arial"/>
      <family val="0"/>
      <charset val="1"/>
    </font>
    <font>
      <b val="true"/>
      <sz val="9"/>
      <color theme="0"/>
      <name val="Arial"/>
      <family val="0"/>
      <charset val="1"/>
    </font>
    <font>
      <b val="true"/>
      <sz val="8"/>
      <name val="Arial"/>
      <family val="0"/>
      <charset val="1"/>
    </font>
    <font>
      <sz val="8"/>
      <name val="Arial"/>
      <family val="0"/>
      <charset val="1"/>
    </font>
    <font>
      <sz val="8"/>
      <color theme="0" tint="-0.35"/>
      <name val="Arial"/>
      <family val="0"/>
      <charset val="1"/>
    </font>
    <font>
      <b val="true"/>
      <sz val="11"/>
      <name val="Cambria"/>
      <family val="0"/>
      <charset val="1"/>
    </font>
    <font>
      <sz val="8"/>
      <color rgb="FF000000"/>
      <name val="Arial"/>
      <family val="0"/>
      <charset val="1"/>
    </font>
    <font>
      <sz val="8"/>
      <color theme="1"/>
      <name val="Calibri"/>
      <family val="0"/>
      <charset val="1"/>
    </font>
    <font>
      <b val="true"/>
      <sz val="9"/>
      <color rgb="FF24634F"/>
      <name val="Arial"/>
      <family val="0"/>
      <charset val="1"/>
    </font>
    <font>
      <sz val="9"/>
      <name val="Calibri"/>
      <family val="0"/>
      <charset val="1"/>
    </font>
    <font>
      <b val="true"/>
      <sz val="9"/>
      <name val="Arial"/>
      <family val="0"/>
      <charset val="1"/>
    </font>
    <font>
      <i val="true"/>
      <sz val="9"/>
      <name val="Arial"/>
      <family val="0"/>
      <charset val="1"/>
    </font>
    <font>
      <i val="true"/>
      <sz val="9"/>
      <name val="Calibri"/>
      <family val="0"/>
      <charset val="1"/>
    </font>
    <font>
      <i val="true"/>
      <sz val="9"/>
      <name val="Cambria"/>
      <family val="0"/>
      <charset val="1"/>
    </font>
    <font>
      <b val="true"/>
      <sz val="8"/>
      <color theme="1" tint="0.15"/>
      <name val="Arial"/>
      <family val="0"/>
      <charset val="1"/>
    </font>
    <font>
      <sz val="8"/>
      <color theme="1" tint="0.15"/>
      <name val="Arial"/>
      <family val="0"/>
      <charset val="1"/>
    </font>
    <font>
      <b val="true"/>
      <sz val="9"/>
      <color theme="1" tint="0.15"/>
      <name val="Arial"/>
      <family val="0"/>
      <charset val="1"/>
    </font>
    <font>
      <b val="true"/>
      <sz val="8"/>
      <color theme="0"/>
      <name val="Arial"/>
      <family val="0"/>
      <charset val="1"/>
    </font>
    <font>
      <sz val="8"/>
      <color theme="0"/>
      <name val="Arial"/>
      <family val="0"/>
      <charset val="1"/>
    </font>
    <font>
      <sz val="8"/>
      <color theme="1"/>
      <name val="Arial"/>
      <family val="0"/>
      <charset val="1"/>
    </font>
    <font>
      <sz val="9"/>
      <name val="Arial"/>
      <family val="0"/>
      <charset val="1"/>
    </font>
    <font>
      <sz val="9"/>
      <color theme="0" tint="-0.35"/>
      <name val="Arial"/>
      <family val="0"/>
      <charset val="1"/>
    </font>
    <font>
      <sz val="8"/>
      <name val="Cambria"/>
      <family val="0"/>
      <charset val="1"/>
    </font>
    <font>
      <b val="true"/>
      <sz val="8"/>
      <name val="Cambria"/>
      <family val="0"/>
      <charset val="1"/>
    </font>
    <font>
      <sz val="11"/>
      <name val="Calibri"/>
      <family val="0"/>
      <charset val="1"/>
    </font>
    <font>
      <b val="true"/>
      <sz val="8"/>
      <color theme="0" tint="-0.5"/>
      <name val="Arial"/>
      <family val="0"/>
      <charset val="1"/>
    </font>
    <font>
      <sz val="8"/>
      <color rgb="FF000000"/>
      <name val="Cambria"/>
      <family val="0"/>
      <charset val="1"/>
    </font>
    <font>
      <b val="true"/>
      <sz val="9"/>
      <color theme="1"/>
      <name val="Arial"/>
      <family val="0"/>
      <charset val="1"/>
    </font>
    <font>
      <b val="true"/>
      <sz val="9"/>
      <color rgb="FFC00000"/>
      <name val="Arial"/>
      <family val="0"/>
      <charset val="1"/>
    </font>
    <font>
      <sz val="8"/>
      <color rgb="FFC00000"/>
      <name val="Arial"/>
      <family val="0"/>
      <charset val="1"/>
    </font>
    <font>
      <sz val="7"/>
      <color rgb="FFC00000"/>
      <name val="Arial"/>
      <family val="0"/>
      <charset val="1"/>
    </font>
    <font>
      <sz val="7"/>
      <color rgb="FF009337"/>
      <name val="Arial"/>
      <family val="0"/>
      <charset val="1"/>
    </font>
    <font>
      <sz val="9"/>
      <color rgb="FF000000"/>
      <name val="Arial"/>
      <family val="0"/>
      <charset val="1"/>
    </font>
    <font>
      <sz val="8"/>
      <color theme="1" tint="0.15"/>
      <name val="Calibri"/>
      <family val="0"/>
      <charset val="1"/>
    </font>
    <font>
      <b val="true"/>
      <sz val="8"/>
      <color theme="1"/>
      <name val="Arial"/>
      <family val="0"/>
      <charset val="1"/>
    </font>
    <font>
      <b val="true"/>
      <sz val="9"/>
      <color rgb="FF000000"/>
      <name val="Arial"/>
      <family val="0"/>
      <charset val="1"/>
    </font>
    <font>
      <b val="true"/>
      <sz val="8"/>
      <color rgb="FF000000"/>
      <name val="Arial"/>
      <family val="0"/>
      <charset val="1"/>
    </font>
    <font>
      <sz val="8"/>
      <color rgb="FF009337"/>
      <name val="Arial"/>
      <family val="0"/>
      <charset val="1"/>
    </font>
    <font>
      <sz val="9"/>
      <color theme="1"/>
      <name val="Arial"/>
      <family val="0"/>
      <charset val="1"/>
    </font>
    <font>
      <sz val="8"/>
      <color theme="1"/>
      <name val="Cambria"/>
      <family val="0"/>
      <charset val="1"/>
    </font>
    <font>
      <sz val="9"/>
      <color rgb="FFFF0000"/>
      <name val="Calibri"/>
      <family val="0"/>
      <charset val="1"/>
    </font>
    <font>
      <b val="true"/>
      <sz val="8"/>
      <color theme="1"/>
      <name val="Cambria"/>
      <family val="0"/>
      <charset val="1"/>
    </font>
    <font>
      <sz val="11"/>
      <color theme="1"/>
      <name val="Arial"/>
      <family val="0"/>
      <charset val="1"/>
    </font>
    <font>
      <i val="true"/>
      <sz val="9"/>
      <color rgb="FFFF0000"/>
      <name val="Arial"/>
      <family val="0"/>
      <charset val="1"/>
    </font>
    <font>
      <b val="true"/>
      <i val="true"/>
      <sz val="8"/>
      <color theme="1" tint="0.15"/>
      <name val="Arial"/>
      <family val="0"/>
      <charset val="1"/>
    </font>
    <font>
      <i val="true"/>
      <sz val="8"/>
      <name val="Cambria"/>
      <family val="0"/>
      <charset val="1"/>
    </font>
    <font>
      <b val="true"/>
      <sz val="18"/>
      <color rgb="FF009337"/>
      <name val="Arial"/>
      <family val="0"/>
      <charset val="1"/>
    </font>
    <font>
      <sz val="9"/>
      <color theme="1" tint="0.15"/>
      <name val="Arial"/>
      <family val="0"/>
      <charset val="1"/>
    </font>
    <font>
      <sz val="11"/>
      <color theme="1"/>
      <name val="Cambria"/>
      <family val="0"/>
      <charset val="1"/>
    </font>
    <font>
      <sz val="10"/>
      <color theme="1"/>
      <name val="Arial"/>
      <family val="0"/>
      <charset val="1"/>
    </font>
    <font>
      <i val="true"/>
      <sz val="10"/>
      <color theme="1"/>
      <name val="Arial"/>
      <family val="0"/>
      <charset val="1"/>
    </font>
    <font>
      <b val="true"/>
      <sz val="11"/>
      <color theme="0"/>
      <name val="Cambria"/>
      <family val="0"/>
      <charset val="1"/>
    </font>
    <font>
      <i val="true"/>
      <sz val="11"/>
      <color theme="1"/>
      <name val="Arial"/>
      <family val="0"/>
      <charset val="1"/>
    </font>
    <font>
      <sz val="9"/>
      <color theme="1" tint="0.1499"/>
      <name val="Arial"/>
      <family val="0"/>
      <charset val="1"/>
    </font>
  </fonts>
  <fills count="45">
    <fill>
      <patternFill patternType="none"/>
    </fill>
    <fill>
      <patternFill patternType="gray125"/>
    </fill>
    <fill>
      <patternFill patternType="solid">
        <fgColor theme="4" tint="0.7999"/>
        <bgColor rgb="FFDDEBF7"/>
      </patternFill>
    </fill>
    <fill>
      <patternFill patternType="solid">
        <fgColor theme="5" tint="0.7999"/>
        <bgColor rgb="FFFFF2CC"/>
      </patternFill>
    </fill>
    <fill>
      <patternFill patternType="solid">
        <fgColor theme="6" tint="0.7999"/>
        <bgColor rgb="FFF2F2F2"/>
      </patternFill>
    </fill>
    <fill>
      <patternFill patternType="solid">
        <fgColor theme="7" tint="0.7999"/>
        <bgColor rgb="FFFFFFCC"/>
      </patternFill>
    </fill>
    <fill>
      <patternFill patternType="solid">
        <fgColor theme="8" tint="0.7999"/>
        <bgColor rgb="FFDDEBF7"/>
      </patternFill>
    </fill>
    <fill>
      <patternFill patternType="solid">
        <fgColor theme="9" tint="0.7999"/>
        <bgColor rgb="FFDEEDCB"/>
      </patternFill>
    </fill>
    <fill>
      <patternFill patternType="solid">
        <fgColor theme="4" tint="0.5999"/>
        <bgColor rgb="FF9DC2E6"/>
      </patternFill>
    </fill>
    <fill>
      <patternFill patternType="solid">
        <fgColor theme="5" tint="0.5999"/>
        <bgColor rgb="FFFFCC99"/>
      </patternFill>
    </fill>
    <fill>
      <patternFill patternType="solid">
        <fgColor theme="6" tint="0.5999"/>
        <bgColor rgb="FFDAE3F3"/>
      </patternFill>
    </fill>
    <fill>
      <patternFill patternType="solid">
        <fgColor theme="7" tint="0.5999"/>
        <bgColor rgb="FFFFEB9C"/>
      </patternFill>
    </fill>
    <fill>
      <patternFill patternType="solid">
        <fgColor theme="8" tint="0.5999"/>
        <bgColor rgb="FFB4C7E7"/>
      </patternFill>
    </fill>
    <fill>
      <patternFill patternType="solid">
        <fgColor theme="9" tint="0.5999"/>
        <bgColor rgb="FFC6EFCE"/>
      </patternFill>
    </fill>
    <fill>
      <patternFill patternType="solid">
        <fgColor theme="4" tint="0.3999"/>
        <bgColor rgb="FF9DC2E6"/>
      </patternFill>
    </fill>
    <fill>
      <patternFill patternType="solid">
        <fgColor theme="5" tint="0.3999"/>
        <bgColor rgb="FFFFCC99"/>
      </patternFill>
    </fill>
    <fill>
      <patternFill patternType="solid">
        <fgColor theme="6" tint="0.3999"/>
        <bgColor rgb="FFD0CECE"/>
      </patternFill>
    </fill>
    <fill>
      <patternFill patternType="solid">
        <fgColor theme="7" tint="0.3999"/>
        <bgColor rgb="FFFFE699"/>
      </patternFill>
    </fill>
    <fill>
      <patternFill patternType="solid">
        <fgColor theme="8" tint="0.3999"/>
        <bgColor rgb="FFB4C7E7"/>
      </patternFill>
    </fill>
    <fill>
      <patternFill patternType="solid">
        <fgColor theme="9" tint="0.3999"/>
        <bgColor rgb="FFC5E0B4"/>
      </patternFill>
    </fill>
    <fill>
      <patternFill patternType="solid">
        <fgColor theme="4"/>
        <bgColor rgb="FF2E75B6"/>
      </patternFill>
    </fill>
    <fill>
      <patternFill patternType="solid">
        <fgColor theme="5"/>
        <bgColor rgb="FFFA7D00"/>
      </patternFill>
    </fill>
    <fill>
      <patternFill patternType="solid">
        <fgColor theme="6"/>
        <bgColor rgb="FFA7A7A7"/>
      </patternFill>
    </fill>
    <fill>
      <patternFill patternType="solid">
        <fgColor theme="7"/>
        <bgColor rgb="FFFFD966"/>
      </patternFill>
    </fill>
    <fill>
      <patternFill patternType="solid">
        <fgColor theme="8"/>
        <bgColor rgb="FF3494BA"/>
      </patternFill>
    </fill>
    <fill>
      <patternFill patternType="solid">
        <fgColor theme="9"/>
        <bgColor rgb="FF548235"/>
      </patternFill>
    </fill>
    <fill>
      <patternFill patternType="solid">
        <fgColor rgb="FFFFC7CE"/>
        <bgColor rgb="FFF8CBAD"/>
      </patternFill>
    </fill>
    <fill>
      <patternFill patternType="solid">
        <fgColor rgb="FFF2F2F2"/>
        <bgColor rgb="FFEDEDED"/>
      </patternFill>
    </fill>
    <fill>
      <patternFill patternType="solid">
        <fgColor rgb="FFC6EFCE"/>
        <bgColor rgb="FFDEEDCB"/>
      </patternFill>
    </fill>
    <fill>
      <patternFill patternType="solid">
        <fgColor rgb="FFFFCC99"/>
        <bgColor rgb="FFF8CBAD"/>
      </patternFill>
    </fill>
    <fill>
      <patternFill patternType="solid">
        <fgColor rgb="FFFFEB9C"/>
        <bgColor rgb="FFFFE699"/>
      </patternFill>
    </fill>
    <fill>
      <patternFill patternType="solid">
        <fgColor rgb="FFFFFFCC"/>
        <bgColor rgb="FFFFF2CC"/>
      </patternFill>
    </fill>
    <fill>
      <patternFill patternType="solid">
        <fgColor theme="0"/>
        <bgColor rgb="FFF2F2F2"/>
      </patternFill>
    </fill>
    <fill>
      <patternFill patternType="solid">
        <fgColor rgb="FFDEEDCB"/>
        <bgColor rgb="FFE2F0D9"/>
      </patternFill>
    </fill>
    <fill>
      <patternFill patternType="solid">
        <fgColor rgb="FF2E75B6"/>
        <bgColor rgb="FF4472C4"/>
      </patternFill>
    </fill>
    <fill>
      <patternFill patternType="solid">
        <fgColor rgb="FF3494BA"/>
        <bgColor rgb="FF5B9BD5"/>
      </patternFill>
    </fill>
    <fill>
      <patternFill patternType="solid">
        <fgColor rgb="FF548235"/>
        <bgColor rgb="FF376B54"/>
      </patternFill>
    </fill>
    <fill>
      <patternFill patternType="darkGray">
        <fgColor rgb="FFB38100"/>
        <bgColor rgb="FFED7D31"/>
      </patternFill>
    </fill>
    <fill>
      <patternFill patternType="solid">
        <fgColor rgb="FF009337"/>
        <bgColor rgb="FF076210"/>
      </patternFill>
    </fill>
    <fill>
      <patternFill patternType="solid">
        <fgColor theme="1" tint="0.2499"/>
        <bgColor rgb="FF3F3F3F"/>
      </patternFill>
    </fill>
    <fill>
      <patternFill patternType="solid">
        <fgColor rgb="FFDDEBF7"/>
        <bgColor rgb="FFDEEBF7"/>
      </patternFill>
    </fill>
    <fill>
      <patternFill patternType="solid">
        <fgColor theme="2"/>
        <bgColor rgb="FFEDEDED"/>
      </patternFill>
    </fill>
    <fill>
      <patternFill patternType="solid">
        <fgColor rgb="FF276E8B"/>
        <bgColor rgb="FF2E75B6"/>
      </patternFill>
    </fill>
    <fill>
      <patternFill patternType="solid">
        <fgColor theme="2" tint="-0.1"/>
        <bgColor rgb="FFC9C9C9"/>
      </patternFill>
    </fill>
    <fill>
      <patternFill patternType="solid">
        <fgColor rgb="FF376B54"/>
        <bgColor rgb="FF276E8B"/>
      </patternFill>
    </fill>
  </fills>
  <borders count="40">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right/>
      <top/>
      <bottom style="medium">
        <color theme="4"/>
      </bottom>
      <diagonal/>
    </border>
    <border diagonalUp="false" diagonalDown="false">
      <left/>
      <right/>
      <top/>
      <bottom style="medium">
        <color theme="4" tint="0.4999"/>
      </bottom>
      <diagonal/>
    </border>
    <border diagonalUp="false" diagonalDown="false">
      <left/>
      <right/>
      <top/>
      <bottom style="double">
        <color rgb="FFFA7D00"/>
      </bottom>
      <diagonal/>
    </border>
    <border diagonalUp="false" diagonalDown="false">
      <left style="thin">
        <color rgb="FFA7A7A7"/>
      </left>
      <right style="thin">
        <color rgb="FFA7A7A7"/>
      </right>
      <top style="thin">
        <color rgb="FFA7A7A7"/>
      </top>
      <bottom style="thin">
        <color rgb="FFA7A7A7"/>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right/>
      <top style="thin">
        <color theme="4"/>
      </top>
      <bottom style="double">
        <color theme="4"/>
      </bottom>
      <diagonal/>
    </border>
    <border diagonalUp="false" diagonalDown="false">
      <left style="thin">
        <color theme="0" tint="-0.5"/>
      </left>
      <right style="thin">
        <color theme="0" tint="-0.5"/>
      </right>
      <top style="thin">
        <color theme="0" tint="-0.5"/>
      </top>
      <bottom style="thin">
        <color theme="0" tint="-0.5"/>
      </bottom>
      <diagonal/>
    </border>
    <border diagonalUp="true" diagonalDown="true">
      <left style="thin">
        <color theme="1" tint="0.4999"/>
      </left>
      <right style="thin">
        <color theme="1" tint="0.4999"/>
      </right>
      <top style="thin">
        <color theme="1" tint="0.4999"/>
      </top>
      <bottom style="thin">
        <color theme="1" tint="0.4999"/>
      </bottom>
      <diagonal style="thin"/>
    </border>
    <border diagonalUp="true" diagonalDown="true">
      <left style="thin">
        <color theme="1" tint="0.4999"/>
      </left>
      <right style="thin">
        <color theme="1" tint="0.4999"/>
      </right>
      <top/>
      <bottom style="thin">
        <color theme="1" tint="0.4999"/>
      </bottom>
      <diagonal style="thin"/>
    </border>
    <border diagonalUp="false" diagonalDown="false">
      <left style="thin">
        <color theme="1" tint="0.4999"/>
      </left>
      <right style="thin">
        <color theme="1" tint="0.4999"/>
      </right>
      <top style="thin">
        <color theme="1" tint="0.4999"/>
      </top>
      <bottom/>
      <diagonal/>
    </border>
    <border diagonalUp="false" diagonalDown="false">
      <left style="thin"/>
      <right style="thin"/>
      <top style="thin"/>
      <bottom style="thin"/>
      <diagonal/>
    </border>
    <border diagonalUp="false" diagonalDown="false">
      <left style="thin">
        <color theme="1" tint="0.4999"/>
      </left>
      <right style="thin">
        <color theme="1" tint="0.4999"/>
      </right>
      <top style="thin">
        <color theme="1" tint="0.4999"/>
      </top>
      <bottom style="medium">
        <color theme="1" tint="0.4999"/>
      </bottom>
      <diagonal/>
    </border>
    <border diagonalUp="false" diagonalDown="false">
      <left/>
      <right style="thin">
        <color theme="1" tint="0.4999"/>
      </right>
      <top style="thin">
        <color theme="1" tint="0.4999"/>
      </top>
      <bottom style="thin">
        <color theme="1" tint="0.4999"/>
      </bottom>
      <diagonal/>
    </border>
    <border diagonalUp="false" diagonalDown="false">
      <left style="thin">
        <color theme="1" tint="0.4999"/>
      </left>
      <right style="thin">
        <color theme="1" tint="0.4999"/>
      </right>
      <top style="thin">
        <color theme="1" tint="0.4999"/>
      </top>
      <bottom style="medium">
        <color theme="0" tint="-0.5"/>
      </bottom>
      <diagonal/>
    </border>
    <border diagonalUp="false" diagonalDown="false">
      <left style="thin">
        <color theme="1" tint="0.4999"/>
      </left>
      <right style="thin">
        <color theme="1" tint="0.4999"/>
      </right>
      <top/>
      <bottom style="medium">
        <color theme="0" tint="-0.5"/>
      </bottom>
      <diagonal/>
    </border>
    <border diagonalUp="false" diagonalDown="false">
      <left style="thin">
        <color theme="1" tint="0.4999"/>
      </left>
      <right style="thin">
        <color theme="1" tint="0.4999"/>
      </right>
      <top/>
      <bottom style="thin">
        <color theme="1" tint="0.4999"/>
      </bottom>
      <diagonal/>
    </border>
    <border diagonalUp="false" diagonalDown="false">
      <left style="thin">
        <color theme="1" tint="0.4999"/>
      </left>
      <right style="thin">
        <color theme="1" tint="0.4999"/>
      </right>
      <top style="medium">
        <color theme="0" tint="-0.5"/>
      </top>
      <bottom style="thin">
        <color theme="0" tint="-0.5"/>
      </bottom>
      <diagonal/>
    </border>
    <border diagonalUp="false" diagonalDown="false">
      <left style="thin">
        <color theme="1" tint="0.4999"/>
      </left>
      <right style="thin">
        <color theme="1" tint="0.4999"/>
      </right>
      <top style="thin">
        <color theme="0" tint="-0.5"/>
      </top>
      <bottom style="thin">
        <color theme="0" tint="-0.5"/>
      </bottom>
      <diagonal/>
    </border>
    <border diagonalUp="false" diagonalDown="false">
      <left style="thin">
        <color theme="1" tint="0.4999"/>
      </left>
      <right style="thin">
        <color theme="1" tint="0.4999"/>
      </right>
      <top style="thin">
        <color theme="0" tint="-0.5"/>
      </top>
      <bottom style="medium">
        <color theme="0" tint="-0.5"/>
      </bottom>
      <diagonal/>
    </border>
    <border diagonalUp="false" diagonalDown="false">
      <left style="thin">
        <color theme="1" tint="0.4999"/>
      </left>
      <right/>
      <top/>
      <bottom style="thin">
        <color theme="1" tint="0.4999"/>
      </bottom>
      <diagonal/>
    </border>
    <border diagonalUp="false" diagonalDown="false">
      <left style="thin">
        <color theme="0" tint="-0.5"/>
      </left>
      <right style="thin">
        <color theme="0" tint="-0.5"/>
      </right>
      <top/>
      <bottom style="thin">
        <color theme="0" tint="-0.5"/>
      </bottom>
      <diagonal/>
    </border>
    <border diagonalUp="false" diagonalDown="false">
      <left style="thin">
        <color theme="0" tint="-0.5"/>
      </left>
      <right style="thin">
        <color theme="0" tint="-0.5"/>
      </right>
      <top style="medium">
        <color theme="0" tint="-0.5"/>
      </top>
      <bottom style="thin">
        <color theme="0" tint="-0.5"/>
      </bottom>
      <diagonal/>
    </border>
    <border diagonalUp="false" diagonalDown="false">
      <left/>
      <right style="thin">
        <color theme="1" tint="0.4999"/>
      </right>
      <top/>
      <bottom style="thin">
        <color theme="1" tint="0.4999"/>
      </bottom>
      <diagonal/>
    </border>
    <border diagonalUp="false" diagonalDown="false">
      <left style="thin">
        <color theme="1" tint="0.4999"/>
      </left>
      <right style="thin">
        <color theme="1" tint="0.4999"/>
      </right>
      <top style="thin">
        <color theme="0" tint="-0.5"/>
      </top>
      <bottom style="thin">
        <color theme="1" tint="0.4999"/>
      </bottom>
      <diagonal/>
    </border>
    <border diagonalUp="false" diagonalDown="false">
      <left style="thin">
        <color theme="1" tint="0.4999"/>
      </left>
      <right style="thin">
        <color theme="1" tint="0.4999"/>
      </right>
      <top style="thin">
        <color theme="1" tint="0.4999"/>
      </top>
      <bottom style="thin">
        <color theme="0" tint="-0.5"/>
      </bottom>
      <diagonal/>
    </border>
    <border diagonalUp="false" diagonalDown="false">
      <left style="thin">
        <color theme="0" tint="-0.5"/>
      </left>
      <right/>
      <top style="thin">
        <color theme="0" tint="-0.5"/>
      </top>
      <bottom style="thin">
        <color theme="0" tint="-0.5"/>
      </bottom>
      <diagonal/>
    </border>
    <border diagonalUp="false" diagonalDown="false">
      <left/>
      <right/>
      <top style="thin">
        <color theme="0" tint="-0.5"/>
      </top>
      <bottom style="thin">
        <color theme="0" tint="-0.5"/>
      </bottom>
      <diagonal/>
    </border>
    <border diagonalUp="false" diagonalDown="false">
      <left/>
      <right style="thin">
        <color theme="0" tint="-0.5"/>
      </right>
      <top style="thin">
        <color theme="0" tint="-0.5"/>
      </top>
      <bottom style="thin">
        <color theme="0" tint="-0.5"/>
      </bottom>
      <diagonal/>
    </border>
    <border diagonalUp="false" diagonalDown="false">
      <left/>
      <right/>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top/>
      <bottom/>
      <diagonal/>
    </border>
    <border diagonalUp="false" diagonalDown="false">
      <left/>
      <right/>
      <top/>
      <bottom style="double"/>
      <diagonal/>
    </border>
    <border diagonalUp="false" diagonalDown="false">
      <left/>
      <right style="thin"/>
      <top style="thin"/>
      <bottom style="thin"/>
      <diagonal/>
    </border>
    <border diagonalUp="false" diagonalDown="false">
      <left style="thin">
        <color theme="0" tint="-0.5"/>
      </left>
      <right style="thin">
        <color theme="0" tint="-0.5"/>
      </right>
      <top style="thin">
        <color theme="0" tint="-0.5"/>
      </top>
      <bottom/>
      <diagonal/>
    </border>
    <border diagonalUp="false" diagonalDown="false">
      <left style="thin">
        <color theme="0" tint="-0.5"/>
      </left>
      <right style="thin">
        <color theme="0" tint="-0.5"/>
      </right>
      <top/>
      <bottom/>
      <diagonal/>
    </border>
    <border diagonalUp="false" diagonalDown="false">
      <left style="thin">
        <color theme="0" tint="-0.5"/>
      </left>
      <right/>
      <top style="thin">
        <color theme="0" tint="-0.5"/>
      </top>
      <bottom/>
      <diagonal/>
    </border>
  </borders>
  <cellStyleXfs count="6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center" textRotation="0" wrapText="false" indent="0" shrinkToFit="false"/>
      <protection locked="true" hidden="false"/>
    </xf>
    <xf numFmtId="164" fontId="4" fillId="3" borderId="0" applyFont="true" applyBorder="true" applyAlignment="true" applyProtection="true">
      <alignment horizontal="general" vertical="center" textRotation="0" wrapText="false" indent="0" shrinkToFit="false"/>
      <protection locked="true" hidden="false"/>
    </xf>
    <xf numFmtId="164" fontId="4" fillId="4" borderId="0" applyFont="true" applyBorder="true" applyAlignment="true" applyProtection="true">
      <alignment horizontal="general" vertical="center" textRotation="0" wrapText="false" indent="0" shrinkToFit="false"/>
      <protection locked="true" hidden="false"/>
    </xf>
    <xf numFmtId="164" fontId="4" fillId="5" borderId="0" applyFont="true" applyBorder="true" applyAlignment="true" applyProtection="true">
      <alignment horizontal="general" vertical="center" textRotation="0" wrapText="false" indent="0" shrinkToFit="false"/>
      <protection locked="true" hidden="false"/>
    </xf>
    <xf numFmtId="164" fontId="4" fillId="6" borderId="0" applyFont="true" applyBorder="true" applyAlignment="true" applyProtection="true">
      <alignment horizontal="general" vertical="center" textRotation="0" wrapText="false" indent="0" shrinkToFit="false"/>
      <protection locked="true" hidden="false"/>
    </xf>
    <xf numFmtId="164" fontId="4" fillId="7" borderId="0" applyFont="true" applyBorder="true" applyAlignment="true" applyProtection="true">
      <alignment horizontal="general" vertical="center" textRotation="0" wrapText="false" indent="0" shrinkToFit="false"/>
      <protection locked="true" hidden="false"/>
    </xf>
    <xf numFmtId="164" fontId="4" fillId="8" borderId="0" applyFont="true" applyBorder="true" applyAlignment="true" applyProtection="true">
      <alignment horizontal="general" vertical="center" textRotation="0" wrapText="false" indent="0" shrinkToFit="false"/>
      <protection locked="true" hidden="false"/>
    </xf>
    <xf numFmtId="164" fontId="4" fillId="9" borderId="0" applyFont="true" applyBorder="true" applyAlignment="true" applyProtection="true">
      <alignment horizontal="general" vertical="center" textRotation="0" wrapText="false" indent="0" shrinkToFit="false"/>
      <protection locked="true" hidden="false"/>
    </xf>
    <xf numFmtId="164" fontId="4" fillId="10" borderId="0" applyFont="true" applyBorder="true" applyAlignment="true" applyProtection="true">
      <alignment horizontal="general" vertical="center" textRotation="0" wrapText="false" indent="0" shrinkToFit="false"/>
      <protection locked="true" hidden="false"/>
    </xf>
    <xf numFmtId="164" fontId="4" fillId="11" borderId="0" applyFont="true" applyBorder="true" applyAlignment="true" applyProtection="true">
      <alignment horizontal="general" vertical="center" textRotation="0" wrapText="false" indent="0" shrinkToFit="false"/>
      <protection locked="true" hidden="false"/>
    </xf>
    <xf numFmtId="164" fontId="4" fillId="12" borderId="0" applyFont="true" applyBorder="true" applyAlignment="true" applyProtection="true">
      <alignment horizontal="general" vertical="center" textRotation="0" wrapText="false" indent="0" shrinkToFit="false"/>
      <protection locked="true" hidden="false"/>
    </xf>
    <xf numFmtId="164" fontId="4" fillId="13" borderId="0" applyFont="true" applyBorder="true" applyAlignment="true" applyProtection="true">
      <alignment horizontal="general" vertical="center" textRotation="0" wrapText="false" indent="0" shrinkToFit="false"/>
      <protection locked="true" hidden="false"/>
    </xf>
    <xf numFmtId="164" fontId="5" fillId="14" borderId="0" applyFont="true" applyBorder="true" applyAlignment="true" applyProtection="true">
      <alignment horizontal="general" vertical="center" textRotation="0" wrapText="false" indent="0" shrinkToFit="false"/>
      <protection locked="true" hidden="false"/>
    </xf>
    <xf numFmtId="164" fontId="5" fillId="15" borderId="0" applyFont="true" applyBorder="true" applyAlignment="true" applyProtection="true">
      <alignment horizontal="general" vertical="center" textRotation="0" wrapText="false" indent="0" shrinkToFit="false"/>
      <protection locked="true" hidden="false"/>
    </xf>
    <xf numFmtId="164" fontId="5" fillId="16" borderId="0" applyFont="true" applyBorder="true" applyAlignment="true" applyProtection="true">
      <alignment horizontal="general" vertical="center" textRotation="0" wrapText="false" indent="0" shrinkToFit="false"/>
      <protection locked="true" hidden="false"/>
    </xf>
    <xf numFmtId="164" fontId="5" fillId="17" borderId="0" applyFont="true" applyBorder="true" applyAlignment="true" applyProtection="true">
      <alignment horizontal="general" vertical="center" textRotation="0" wrapText="false" indent="0" shrinkToFit="false"/>
      <protection locked="true" hidden="false"/>
    </xf>
    <xf numFmtId="164" fontId="5" fillId="18" borderId="0" applyFont="true" applyBorder="true" applyAlignment="true" applyProtection="true">
      <alignment horizontal="general" vertical="center" textRotation="0" wrapText="false" indent="0" shrinkToFit="false"/>
      <protection locked="true" hidden="false"/>
    </xf>
    <xf numFmtId="164" fontId="5" fillId="19" borderId="0" applyFont="true" applyBorder="true" applyAlignment="true" applyProtection="true">
      <alignment horizontal="general" vertical="center" textRotation="0" wrapText="false" indent="0" shrinkToFit="false"/>
      <protection locked="true" hidden="false"/>
    </xf>
    <xf numFmtId="164" fontId="5" fillId="20" borderId="0" applyFont="true" applyBorder="true" applyAlignment="true" applyProtection="true">
      <alignment horizontal="general" vertical="center" textRotation="0" wrapText="false" indent="0" shrinkToFit="false"/>
      <protection locked="true" hidden="false"/>
    </xf>
    <xf numFmtId="164" fontId="5" fillId="21" borderId="0" applyFont="true" applyBorder="true" applyAlignment="true" applyProtection="true">
      <alignment horizontal="general" vertical="center" textRotation="0" wrapText="false" indent="0" shrinkToFit="false"/>
      <protection locked="true" hidden="false"/>
    </xf>
    <xf numFmtId="164" fontId="5" fillId="22" borderId="0" applyFont="true" applyBorder="true" applyAlignment="true" applyProtection="true">
      <alignment horizontal="general" vertical="center" textRotation="0" wrapText="false" indent="0" shrinkToFit="false"/>
      <protection locked="true" hidden="false"/>
    </xf>
    <xf numFmtId="164" fontId="5" fillId="23" borderId="0" applyFont="true" applyBorder="true" applyAlignment="true" applyProtection="true">
      <alignment horizontal="general" vertical="center" textRotation="0" wrapText="false" indent="0" shrinkToFit="false"/>
      <protection locked="true" hidden="false"/>
    </xf>
    <xf numFmtId="164" fontId="5" fillId="24" borderId="0" applyFont="true" applyBorder="true" applyAlignment="true" applyProtection="true">
      <alignment horizontal="general" vertical="center" textRotation="0" wrapText="false" indent="0" shrinkToFit="false"/>
      <protection locked="true" hidden="false"/>
    </xf>
    <xf numFmtId="164" fontId="5" fillId="25" borderId="0" applyFont="true" applyBorder="true" applyAlignment="true" applyProtection="true">
      <alignment horizontal="general" vertical="center" textRotation="0" wrapText="false" indent="0" shrinkToFit="false"/>
      <protection locked="true" hidden="false"/>
    </xf>
    <xf numFmtId="164" fontId="6" fillId="26" borderId="0" applyFont="true" applyBorder="true" applyAlignment="true" applyProtection="true">
      <alignment horizontal="general" vertical="center" textRotation="0" wrapText="false" indent="0" shrinkToFit="false"/>
      <protection locked="true" hidden="false"/>
    </xf>
    <xf numFmtId="164" fontId="7" fillId="27" borderId="1" applyFont="true" applyBorder="true" applyAlignment="true" applyProtection="true">
      <alignment horizontal="general" vertical="center" textRotation="0" wrapText="false" indent="0" shrinkToFit="false"/>
      <protection locked="true" hidden="false"/>
    </xf>
    <xf numFmtId="164" fontId="8" fillId="22" borderId="2" applyFont="true" applyBorder="true" applyAlignment="true" applyProtection="true">
      <alignment horizontal="general" vertical="center" textRotation="0" wrapText="false" indent="0" shrinkToFit="false"/>
      <protection locked="true" hidden="false"/>
    </xf>
    <xf numFmtId="165" fontId="9" fillId="0" borderId="0" applyFont="true" applyBorder="true" applyAlignment="true" applyProtection="true">
      <alignment horizontal="general" vertical="bottom" textRotation="0" wrapText="false" indent="0" shrinkToFit="false"/>
      <protection locked="true" hidden="false"/>
    </xf>
    <xf numFmtId="165"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center" textRotation="0" wrapText="false" indent="0" shrinkToFit="false"/>
      <protection locked="true" hidden="false"/>
    </xf>
    <xf numFmtId="164" fontId="11" fillId="0" borderId="0" applyFont="true" applyBorder="true" applyAlignment="true" applyProtection="true">
      <alignment horizontal="general" vertical="center" textRotation="0" wrapText="false" indent="0" shrinkToFit="false"/>
      <protection locked="true" hidden="false"/>
    </xf>
    <xf numFmtId="164" fontId="12" fillId="28" borderId="0" applyFont="true" applyBorder="true" applyAlignment="true" applyProtection="true">
      <alignment horizontal="general" vertical="center" textRotation="0" wrapText="false" indent="0" shrinkToFit="false"/>
      <protection locked="true" hidden="false"/>
    </xf>
    <xf numFmtId="164" fontId="13" fillId="0" borderId="3" applyFont="true" applyBorder="true" applyAlignment="true" applyProtection="true">
      <alignment horizontal="general" vertical="center" textRotation="0" wrapText="false" indent="0" shrinkToFit="false"/>
      <protection locked="true" hidden="false"/>
    </xf>
    <xf numFmtId="164" fontId="14" fillId="0" borderId="3" applyFont="true" applyBorder="true" applyAlignment="true" applyProtection="true">
      <alignment horizontal="general" vertical="center" textRotation="0" wrapText="false" indent="0" shrinkToFit="false"/>
      <protection locked="true" hidden="false"/>
    </xf>
    <xf numFmtId="164" fontId="15" fillId="0" borderId="4" applyFont="true" applyBorder="true" applyAlignment="true" applyProtection="true">
      <alignment horizontal="general" vertical="center" textRotation="0" wrapText="false" indent="0" shrinkToFit="false"/>
      <protection locked="true" hidden="false"/>
    </xf>
    <xf numFmtId="164" fontId="15" fillId="0" borderId="0" applyFont="true" applyBorder="true" applyAlignment="true" applyProtection="true">
      <alignment horizontal="general" vertical="center" textRotation="0" wrapText="false" indent="0" shrinkToFit="false"/>
      <protection locked="true" hidden="false"/>
    </xf>
    <xf numFmtId="164" fontId="16" fillId="29" borderId="1" applyFont="true" applyBorder="true" applyAlignment="true" applyProtection="true">
      <alignment horizontal="general" vertical="center" textRotation="0" wrapText="false" indent="0" shrinkToFit="false"/>
      <protection locked="true" hidden="false"/>
    </xf>
    <xf numFmtId="164" fontId="17" fillId="0" borderId="0" applyFont="true" applyBorder="true" applyAlignment="true" applyProtection="true">
      <alignment horizontal="general" vertical="center" textRotation="0" wrapText="false" indent="0" shrinkToFit="false"/>
      <protection locked="true" hidden="false"/>
    </xf>
    <xf numFmtId="164" fontId="18" fillId="0" borderId="5" applyFont="true" applyBorder="true" applyAlignment="true" applyProtection="true">
      <alignment horizontal="general" vertical="center" textRotation="0" wrapText="false" indent="0" shrinkToFit="false"/>
      <protection locked="true" hidden="false"/>
    </xf>
    <xf numFmtId="164" fontId="19" fillId="30" borderId="0" applyFont="true" applyBorder="true" applyAlignment="true" applyProtection="true">
      <alignment horizontal="general" vertical="center"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4" fillId="31" borderId="6" applyFont="true" applyBorder="true" applyAlignment="true" applyProtection="true">
      <alignment horizontal="general" vertical="center" textRotation="0" wrapText="false" indent="0" shrinkToFit="false"/>
      <protection locked="true" hidden="false"/>
    </xf>
    <xf numFmtId="164" fontId="20" fillId="27" borderId="7" applyFont="true" applyBorder="true" applyAlignment="true" applyProtection="true">
      <alignment horizontal="general" vertical="center" textRotation="0" wrapText="false" indent="0" shrinkToFit="false"/>
      <protection locked="true" hidden="false"/>
    </xf>
    <xf numFmtId="164" fontId="21" fillId="0" borderId="0" applyFont="true" applyBorder="true" applyAlignment="true" applyProtection="true">
      <alignment horizontal="general" vertical="center" textRotation="0" wrapText="false" indent="0" shrinkToFit="false"/>
      <protection locked="true" hidden="false"/>
    </xf>
    <xf numFmtId="164" fontId="22" fillId="0" borderId="8" applyFont="true" applyBorder="true" applyAlignment="true" applyProtection="true">
      <alignment horizontal="general" vertical="center" textRotation="0" wrapText="false" indent="0" shrinkToFit="false"/>
      <protection locked="true" hidden="false"/>
    </xf>
    <xf numFmtId="164" fontId="23" fillId="0" borderId="0" applyFont="true" applyBorder="true" applyAlignment="true" applyProtection="true">
      <alignment horizontal="general" vertical="center" textRotation="0" wrapText="false" indent="0" shrinkToFit="false"/>
      <protection locked="true" hidden="false"/>
    </xf>
  </cellStyleXfs>
  <cellXfs count="3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25" fillId="32"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6" fontId="26" fillId="33" borderId="9" xfId="0" applyFont="true" applyBorder="true" applyAlignment="true" applyProtection="false">
      <alignment horizontal="right" vertical="center" textRotation="0" wrapText="false" indent="0" shrinkToFit="false"/>
      <protection locked="true" hidden="false"/>
    </xf>
    <xf numFmtId="164" fontId="27" fillId="34" borderId="0" xfId="0" applyFont="true" applyBorder="false" applyAlignment="true" applyProtection="false">
      <alignment horizontal="general" vertical="center" textRotation="0" wrapText="false" indent="0" shrinkToFit="false"/>
      <protection locked="true" hidden="false"/>
    </xf>
    <xf numFmtId="166" fontId="26" fillId="35" borderId="10" xfId="0" applyFont="true" applyBorder="true" applyAlignment="true" applyProtection="false">
      <alignment horizontal="right" vertical="center" textRotation="0" wrapText="false" indent="0" shrinkToFit="false"/>
      <protection locked="true" hidden="false"/>
    </xf>
    <xf numFmtId="164" fontId="27" fillId="36" borderId="0" xfId="0" applyFont="true" applyBorder="false" applyAlignment="true" applyProtection="false">
      <alignment horizontal="general" vertical="bottom" textRotation="0" wrapText="false" indent="0" shrinkToFit="false"/>
      <protection locked="true" hidden="false"/>
    </xf>
    <xf numFmtId="166" fontId="26" fillId="33" borderId="11" xfId="0" applyFont="true" applyBorder="true" applyAlignment="true" applyProtection="false">
      <alignment horizontal="right" vertical="center" textRotation="0" wrapText="false" indent="0" shrinkToFit="false"/>
      <protection locked="true" hidden="false"/>
    </xf>
    <xf numFmtId="164" fontId="27" fillId="37" borderId="0" xfId="0" applyFont="true" applyBorder="false" applyAlignment="true" applyProtection="false">
      <alignment horizontal="general" vertical="bottom" textRotation="0" wrapText="false" indent="0" shrinkToFit="false"/>
      <protection locked="true" hidden="false"/>
    </xf>
    <xf numFmtId="164" fontId="28" fillId="32" borderId="0" xfId="0" applyFont="true" applyBorder="false" applyAlignment="true" applyProtection="false">
      <alignment horizontal="general" vertical="center" textRotation="0" wrapText="false" indent="0" shrinkToFit="false"/>
      <protection locked="true" hidden="false"/>
    </xf>
    <xf numFmtId="164" fontId="29" fillId="0" borderId="0" xfId="0" applyFont="true" applyBorder="true" applyAlignment="true" applyProtection="false">
      <alignment horizontal="left" vertical="center" textRotation="0" wrapText="tru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29" fillId="0" borderId="0" xfId="0" applyFont="true" applyBorder="true" applyAlignment="true" applyProtection="false">
      <alignment horizontal="left" vertical="bottom" textRotation="0" wrapText="true" indent="0" shrinkToFit="false"/>
      <protection locked="true" hidden="false"/>
    </xf>
    <xf numFmtId="164" fontId="31" fillId="38" borderId="12" xfId="0" applyFont="true" applyBorder="true" applyAlignment="true" applyProtection="false">
      <alignment horizontal="center" vertical="center" textRotation="0" wrapText="true" indent="0" shrinkToFit="false"/>
      <protection locked="true" hidden="false"/>
    </xf>
    <xf numFmtId="164" fontId="31" fillId="38" borderId="1" xfId="0" applyFont="true" applyBorder="true" applyAlignment="true" applyProtection="false">
      <alignment horizontal="center" vertical="center" textRotation="0" wrapText="true" indent="0" shrinkToFit="false"/>
      <protection locked="true" hidden="false"/>
    </xf>
    <xf numFmtId="164" fontId="32" fillId="39" borderId="12" xfId="0" applyFont="true" applyBorder="true" applyAlignment="true" applyProtection="false">
      <alignment horizontal="center" vertical="center" textRotation="0" wrapText="true" indent="0" shrinkToFit="false"/>
      <protection locked="true" hidden="false"/>
    </xf>
    <xf numFmtId="164" fontId="33" fillId="27" borderId="13" xfId="0" applyFont="true" applyBorder="true" applyAlignment="true" applyProtection="false">
      <alignment horizontal="left" vertical="top" textRotation="0" wrapText="true" indent="0" shrinkToFit="false"/>
      <protection locked="true" hidden="false"/>
    </xf>
    <xf numFmtId="164" fontId="34" fillId="27" borderId="13" xfId="0" applyFont="true" applyBorder="true" applyAlignment="true" applyProtection="false">
      <alignment horizontal="left" vertical="top" textRotation="0" wrapText="true" indent="0" shrinkToFit="false"/>
      <protection locked="true" hidden="false"/>
    </xf>
    <xf numFmtId="164" fontId="33" fillId="0" borderId="13" xfId="0" applyFont="true" applyBorder="true" applyAlignment="true" applyProtection="false">
      <alignment horizontal="left" vertical="top" textRotation="0" wrapText="true" indent="0" shrinkToFit="false"/>
      <protection locked="true" hidden="false"/>
    </xf>
    <xf numFmtId="164" fontId="34" fillId="40" borderId="13" xfId="0" applyFont="true" applyBorder="true" applyAlignment="true" applyProtection="false">
      <alignment horizontal="left" vertical="center" textRotation="0" wrapText="true" indent="0" shrinkToFit="false"/>
      <protection locked="true" hidden="false"/>
    </xf>
    <xf numFmtId="166" fontId="35" fillId="0" borderId="13" xfId="61" applyFont="true" applyBorder="true" applyAlignment="true" applyProtection="false">
      <alignment horizontal="general" vertical="center" textRotation="0" wrapText="false" indent="0" shrinkToFit="false"/>
      <protection locked="true" hidden="false"/>
    </xf>
    <xf numFmtId="166" fontId="26" fillId="0" borderId="13" xfId="0" applyFont="true" applyBorder="true" applyAlignment="true" applyProtection="false">
      <alignment horizontal="right" vertical="center" textRotation="0" wrapText="false" indent="0" shrinkToFit="false"/>
      <protection locked="true" hidden="false"/>
    </xf>
    <xf numFmtId="166" fontId="36" fillId="30" borderId="13" xfId="0" applyFont="true" applyBorder="true" applyAlignment="true" applyProtection="false">
      <alignment horizontal="center" vertical="bottom" textRotation="0" wrapText="false" indent="0" shrinkToFit="false"/>
      <protection locked="true" hidden="false"/>
    </xf>
    <xf numFmtId="166" fontId="36" fillId="28" borderId="13" xfId="61" applyFont="true" applyBorder="true" applyAlignment="true" applyProtection="false">
      <alignment horizontal="center" vertical="bottom" textRotation="0" wrapText="false" indent="0" shrinkToFit="false"/>
      <protection locked="true" hidden="false"/>
    </xf>
    <xf numFmtId="164" fontId="34" fillId="0" borderId="13" xfId="0" applyFont="true" applyBorder="true" applyAlignment="true" applyProtection="false">
      <alignment horizontal="left" vertical="top" textRotation="0" wrapText="true" indent="0" shrinkToFit="false"/>
      <protection locked="true" hidden="false"/>
    </xf>
    <xf numFmtId="164" fontId="37" fillId="40" borderId="13" xfId="0" applyFont="true" applyBorder="true" applyAlignment="true" applyProtection="false">
      <alignment horizontal="left" vertical="center" textRotation="0" wrapText="true" indent="0" shrinkToFit="false"/>
      <protection locked="true" hidden="false"/>
    </xf>
    <xf numFmtId="166" fontId="36" fillId="30" borderId="13" xfId="61" applyFont="true" applyBorder="tru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left" vertical="bottom" textRotation="0" wrapText="fals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40" fillId="0" borderId="0" xfId="0" applyFont="true" applyBorder="false" applyAlignment="true" applyProtection="false">
      <alignment horizontal="general" vertical="center" textRotation="0" wrapText="false" indent="0" shrinkToFit="false"/>
      <protection locked="true" hidden="false"/>
    </xf>
    <xf numFmtId="164" fontId="41" fillId="0" borderId="0" xfId="0" applyFont="true" applyBorder="false" applyAlignment="true" applyProtection="false">
      <alignment horizontal="general" vertical="center" textRotation="0" wrapText="fals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center" textRotation="0" wrapText="true" indent="0" shrinkToFit="false"/>
      <protection locked="true" hidden="false"/>
    </xf>
    <xf numFmtId="164" fontId="43" fillId="0" borderId="0" xfId="0" applyFont="true" applyBorder="false" applyAlignment="true" applyProtection="false">
      <alignment horizontal="general" vertical="center" textRotation="0" wrapText="false" indent="0" shrinkToFit="false"/>
      <protection locked="true" hidden="false"/>
    </xf>
    <xf numFmtId="164" fontId="45" fillId="27" borderId="14" xfId="0" applyFont="true" applyBorder="true" applyAlignment="true" applyProtection="false">
      <alignment horizontal="left" vertical="top" textRotation="0" wrapText="true" indent="0" shrinkToFit="false"/>
      <protection locked="true" hidden="false"/>
    </xf>
    <xf numFmtId="164" fontId="45" fillId="27" borderId="15" xfId="0" applyFont="true" applyBorder="true" applyAlignment="true" applyProtection="false">
      <alignment horizontal="left" vertical="top" textRotation="0" wrapText="true" indent="0" shrinkToFit="false"/>
      <protection locked="true" hidden="false"/>
    </xf>
    <xf numFmtId="164" fontId="45" fillId="27" borderId="1" xfId="0" applyFont="true" applyBorder="true" applyAlignment="true" applyProtection="false">
      <alignment horizontal="left" vertical="top" textRotation="0" wrapText="true" indent="0" shrinkToFit="false"/>
      <protection locked="true" hidden="false"/>
    </xf>
    <xf numFmtId="164" fontId="46" fillId="27" borderId="1" xfId="0" applyFont="true" applyBorder="true" applyAlignment="true" applyProtection="false">
      <alignment horizontal="left" vertical="top" textRotation="0" wrapText="true" indent="0" shrinkToFit="false"/>
      <protection locked="true" hidden="false"/>
    </xf>
    <xf numFmtId="164" fontId="46" fillId="27" borderId="1" xfId="0" applyFont="true" applyBorder="true" applyAlignment="true" applyProtection="false">
      <alignment horizontal="general" vertical="center" textRotation="0" wrapText="true" indent="0" shrinkToFit="false"/>
      <protection locked="true" hidden="false"/>
    </xf>
    <xf numFmtId="164" fontId="46" fillId="27" borderId="1" xfId="0" applyFont="true" applyBorder="true" applyAlignment="true" applyProtection="false">
      <alignment horizontal="left" vertical="center" textRotation="0" wrapText="false" indent="0" shrinkToFit="false"/>
      <protection locked="true" hidden="false"/>
    </xf>
    <xf numFmtId="164" fontId="46" fillId="27" borderId="1" xfId="0" applyFont="true" applyBorder="true" applyAlignment="true" applyProtection="false">
      <alignment horizontal="center" vertical="center" textRotation="0" wrapText="false" indent="0" shrinkToFit="false"/>
      <protection locked="true" hidden="false"/>
    </xf>
    <xf numFmtId="166" fontId="46" fillId="27" borderId="1" xfId="61" applyFont="true" applyBorder="true" applyAlignment="true" applyProtection="false">
      <alignment horizontal="general" vertical="center" textRotation="0" wrapText="false" indent="0" shrinkToFit="false"/>
      <protection locked="true" hidden="false"/>
    </xf>
    <xf numFmtId="166" fontId="46" fillId="27" borderId="1" xfId="61" applyFont="true" applyBorder="true" applyAlignment="true" applyProtection="false">
      <alignment horizontal="center" vertical="center" textRotation="0" wrapText="false" indent="0" shrinkToFit="false"/>
      <protection locked="true" hidden="false"/>
    </xf>
    <xf numFmtId="166" fontId="46" fillId="0" borderId="1" xfId="61" applyFont="true" applyBorder="true" applyAlignment="true" applyProtection="false">
      <alignment horizontal="center" vertical="center" textRotation="0" wrapText="false" indent="0" shrinkToFit="false"/>
      <protection locked="true" hidden="false"/>
    </xf>
    <xf numFmtId="166" fontId="46" fillId="32" borderId="1" xfId="61" applyFont="true" applyBorder="true" applyAlignment="true" applyProtection="false">
      <alignment horizontal="center" vertical="center" textRotation="0" wrapText="false" indent="0" shrinkToFit="false"/>
      <protection locked="true" hidden="false"/>
    </xf>
    <xf numFmtId="167" fontId="45" fillId="0" borderId="14" xfId="0" applyFont="true" applyBorder="true" applyAlignment="true" applyProtection="false">
      <alignment horizontal="center" vertical="center" textRotation="0" wrapText="true" indent="0" shrinkToFit="false"/>
      <protection locked="true" hidden="false"/>
    </xf>
    <xf numFmtId="164" fontId="46" fillId="0" borderId="1" xfId="0" applyFont="true" applyBorder="true" applyAlignment="true" applyProtection="false">
      <alignment horizontal="center" vertical="center" textRotation="0" wrapText="true" indent="0" shrinkToFit="false"/>
      <protection locked="true" hidden="false"/>
    </xf>
    <xf numFmtId="164" fontId="46" fillId="27" borderId="1" xfId="0" applyFont="true" applyBorder="true" applyAlignment="true" applyProtection="false">
      <alignment horizontal="general" vertical="center" textRotation="0" wrapText="false" indent="0" shrinkToFit="false"/>
      <protection locked="true" hidden="false"/>
    </xf>
    <xf numFmtId="164" fontId="45" fillId="32" borderId="1" xfId="0" applyFont="true" applyBorder="true" applyAlignment="true" applyProtection="false">
      <alignment horizontal="left" vertical="top" textRotation="0" wrapText="true" indent="0" shrinkToFit="false"/>
      <protection locked="true" hidden="false"/>
    </xf>
    <xf numFmtId="164" fontId="46" fillId="32" borderId="1" xfId="0" applyFont="true" applyBorder="true" applyAlignment="true" applyProtection="false">
      <alignment horizontal="left" vertical="top" textRotation="0" wrapText="true" indent="0" shrinkToFit="false"/>
      <protection locked="true" hidden="false"/>
    </xf>
    <xf numFmtId="164" fontId="46" fillId="32" borderId="1" xfId="0" applyFont="true" applyBorder="true" applyAlignment="true" applyProtection="false">
      <alignment horizontal="general" vertical="center" textRotation="0" wrapText="true" indent="0" shrinkToFit="false"/>
      <protection locked="true" hidden="false"/>
    </xf>
    <xf numFmtId="164" fontId="46" fillId="32" borderId="1" xfId="0" applyFont="true" applyBorder="true" applyAlignment="true" applyProtection="false">
      <alignment horizontal="left" vertical="center" textRotation="0" wrapText="false" indent="0" shrinkToFit="false"/>
      <protection locked="true" hidden="false"/>
    </xf>
    <xf numFmtId="164" fontId="46" fillId="32" borderId="1" xfId="0" applyFont="true" applyBorder="true" applyAlignment="true" applyProtection="false">
      <alignment horizontal="center" vertical="center" textRotation="0" wrapText="false" indent="0" shrinkToFit="false"/>
      <protection locked="true" hidden="false"/>
    </xf>
    <xf numFmtId="166" fontId="46" fillId="32" borderId="1" xfId="61" applyFont="true" applyBorder="true" applyAlignment="true" applyProtection="false">
      <alignment horizontal="general" vertical="center" textRotation="0" wrapText="false" indent="0" shrinkToFit="false"/>
      <protection locked="true" hidden="false"/>
    </xf>
    <xf numFmtId="166" fontId="46" fillId="0" borderId="1" xfId="0" applyFont="true" applyBorder="true" applyAlignment="true" applyProtection="false">
      <alignment horizontal="center" vertical="center" textRotation="0" wrapText="false" indent="0" shrinkToFit="false"/>
      <protection locked="true" hidden="false"/>
    </xf>
    <xf numFmtId="164" fontId="45" fillId="0" borderId="1" xfId="0" applyFont="true" applyBorder="true" applyAlignment="true" applyProtection="false">
      <alignment horizontal="left" vertical="top" textRotation="0" wrapText="true" indent="0" shrinkToFit="false"/>
      <protection locked="true" hidden="false"/>
    </xf>
    <xf numFmtId="164" fontId="46" fillId="0" borderId="1" xfId="0" applyFont="true" applyBorder="true" applyAlignment="true" applyProtection="false">
      <alignment horizontal="general" vertical="center" textRotation="0" wrapText="true" indent="0" shrinkToFit="false"/>
      <protection locked="true" hidden="false"/>
    </xf>
    <xf numFmtId="164" fontId="46" fillId="0" borderId="1" xfId="0" applyFont="true" applyBorder="true" applyAlignment="true" applyProtection="false">
      <alignment horizontal="left" vertical="center" textRotation="0" wrapText="false" indent="0" shrinkToFit="false"/>
      <protection locked="true" hidden="false"/>
    </xf>
    <xf numFmtId="164" fontId="46" fillId="0" borderId="1" xfId="0" applyFont="true" applyBorder="true" applyAlignment="true" applyProtection="false">
      <alignment horizontal="center" vertical="center" textRotation="0" wrapText="false" indent="0" shrinkToFit="false"/>
      <protection locked="true" hidden="false"/>
    </xf>
    <xf numFmtId="166" fontId="46" fillId="0" borderId="1" xfId="61" applyFont="true" applyBorder="true" applyAlignment="true" applyProtection="false">
      <alignment horizontal="general" vertical="center" textRotation="0" wrapText="false" indent="0" shrinkToFit="false"/>
      <protection locked="true" hidden="false"/>
    </xf>
    <xf numFmtId="164" fontId="47" fillId="27" borderId="15" xfId="0" applyFont="true" applyBorder="true" applyAlignment="true" applyProtection="false">
      <alignment horizontal="left" vertical="top" textRotation="0" wrapText="true" indent="0" shrinkToFit="false"/>
      <protection locked="true" hidden="false"/>
    </xf>
    <xf numFmtId="164" fontId="46" fillId="27" borderId="16" xfId="0" applyFont="true" applyBorder="true" applyAlignment="true" applyProtection="false">
      <alignment horizontal="left" vertical="top" textRotation="0" wrapText="true" indent="0" shrinkToFit="false"/>
      <protection locked="true" hidden="false"/>
    </xf>
    <xf numFmtId="164" fontId="46" fillId="27" borderId="14" xfId="0" applyFont="true" applyBorder="true" applyAlignment="true" applyProtection="false">
      <alignment horizontal="general" vertical="center" textRotation="0" wrapText="true" indent="0" shrinkToFit="false"/>
      <protection locked="true" hidden="false"/>
    </xf>
    <xf numFmtId="164" fontId="46" fillId="27" borderId="14" xfId="0" applyFont="true" applyBorder="true" applyAlignment="true" applyProtection="false">
      <alignment horizontal="left" vertical="center" textRotation="0" wrapText="false" indent="0" shrinkToFit="false"/>
      <protection locked="true" hidden="false"/>
    </xf>
    <xf numFmtId="164" fontId="46" fillId="27" borderId="14" xfId="0" applyFont="true" applyBorder="true" applyAlignment="true" applyProtection="false">
      <alignment horizontal="center" vertical="center" textRotation="0" wrapText="false" indent="0" shrinkToFit="false"/>
      <protection locked="true" hidden="false"/>
    </xf>
    <xf numFmtId="166" fontId="46" fillId="27" borderId="14" xfId="61" applyFont="true" applyBorder="true" applyAlignment="true" applyProtection="false">
      <alignment horizontal="general" vertical="center" textRotation="0" wrapText="false" indent="0" shrinkToFit="false"/>
      <protection locked="true" hidden="false"/>
    </xf>
    <xf numFmtId="166" fontId="46" fillId="0" borderId="14" xfId="0" applyFont="true" applyBorder="true" applyAlignment="true" applyProtection="false">
      <alignment horizontal="center" vertical="center" textRotation="0" wrapText="false" indent="0" shrinkToFit="false"/>
      <protection locked="true" hidden="false"/>
    </xf>
    <xf numFmtId="164" fontId="47" fillId="27" borderId="17" xfId="0" applyFont="true" applyBorder="true" applyAlignment="true" applyProtection="false">
      <alignment horizontal="left" vertical="top" textRotation="0" wrapText="true" indent="0" shrinkToFit="false"/>
      <protection locked="true" hidden="false"/>
    </xf>
    <xf numFmtId="164" fontId="47" fillId="27" borderId="18" xfId="0" applyFont="true" applyBorder="true" applyAlignment="true" applyProtection="false">
      <alignment horizontal="left" vertical="top" textRotation="0" wrapText="true" indent="0" shrinkToFit="false"/>
      <protection locked="true" hidden="false"/>
    </xf>
    <xf numFmtId="164" fontId="45" fillId="0" borderId="18" xfId="0" applyFont="true" applyBorder="true" applyAlignment="true" applyProtection="false">
      <alignment horizontal="left" vertical="top" textRotation="0" wrapText="true" indent="0" shrinkToFit="false"/>
      <protection locked="true" hidden="false"/>
    </xf>
    <xf numFmtId="164" fontId="46" fillId="32" borderId="19" xfId="0" applyFont="true" applyBorder="true" applyAlignment="true" applyProtection="false">
      <alignment horizontal="left" vertical="top" textRotation="0" wrapText="false" indent="0" shrinkToFit="false"/>
      <protection locked="true" hidden="false"/>
    </xf>
    <xf numFmtId="164" fontId="46" fillId="0" borderId="18" xfId="0" applyFont="true" applyBorder="true" applyAlignment="true" applyProtection="false">
      <alignment horizontal="general" vertical="center" textRotation="0" wrapText="true" indent="0" shrinkToFit="false"/>
      <protection locked="true" hidden="false"/>
    </xf>
    <xf numFmtId="164" fontId="46" fillId="0" borderId="18" xfId="0" applyFont="true" applyBorder="true" applyAlignment="true" applyProtection="false">
      <alignment horizontal="left" vertical="center" textRotation="0" wrapText="false" indent="0" shrinkToFit="false"/>
      <protection locked="true" hidden="false"/>
    </xf>
    <xf numFmtId="164" fontId="46" fillId="0" borderId="18" xfId="0" applyFont="true" applyBorder="true" applyAlignment="true" applyProtection="false">
      <alignment horizontal="center" vertical="center" textRotation="0" wrapText="false" indent="0" shrinkToFit="false"/>
      <protection locked="true" hidden="false"/>
    </xf>
    <xf numFmtId="166" fontId="46" fillId="0" borderId="18" xfId="61" applyFont="true" applyBorder="true" applyAlignment="true" applyProtection="false">
      <alignment horizontal="general" vertical="center" textRotation="0" wrapText="false" indent="0" shrinkToFit="false"/>
      <protection locked="true" hidden="false"/>
    </xf>
    <xf numFmtId="166" fontId="46" fillId="0" borderId="18" xfId="61" applyFont="true" applyBorder="true" applyAlignment="true" applyProtection="false">
      <alignment horizontal="center" vertical="center" textRotation="0" wrapText="false" indent="0" shrinkToFit="false"/>
      <protection locked="true" hidden="false"/>
    </xf>
    <xf numFmtId="166" fontId="46" fillId="32" borderId="18" xfId="61" applyFont="true" applyBorder="true" applyAlignment="true" applyProtection="false">
      <alignment horizontal="center" vertical="center" textRotation="0" wrapText="false" indent="0" shrinkToFit="false"/>
      <protection locked="true" hidden="false"/>
    </xf>
    <xf numFmtId="167" fontId="45" fillId="0" borderId="17" xfId="0" applyFont="true" applyBorder="true" applyAlignment="true" applyProtection="false">
      <alignment horizontal="center" vertical="center" textRotation="0" wrapText="true" indent="0" shrinkToFit="false"/>
      <protection locked="true" hidden="false"/>
    </xf>
    <xf numFmtId="166" fontId="46" fillId="0" borderId="18" xfId="0" applyFont="true" applyBorder="true" applyAlignment="true" applyProtection="false">
      <alignment horizontal="center" vertical="center" textRotation="0" wrapText="false" indent="0" shrinkToFit="false"/>
      <protection locked="true" hidden="false"/>
    </xf>
    <xf numFmtId="164" fontId="47" fillId="27" borderId="1" xfId="0" applyFont="true" applyBorder="true" applyAlignment="true" applyProtection="false">
      <alignment horizontal="left" vertical="top" textRotation="0" wrapText="true" indent="0" shrinkToFit="false"/>
      <protection locked="true" hidden="false"/>
    </xf>
    <xf numFmtId="164" fontId="46" fillId="27" borderId="20" xfId="0" applyFont="true" applyBorder="true" applyAlignment="true" applyProtection="false">
      <alignment horizontal="left" vertical="top" textRotation="0" wrapText="true" indent="0" shrinkToFit="false"/>
      <protection locked="true" hidden="false"/>
    </xf>
    <xf numFmtId="164" fontId="45" fillId="32" borderId="15" xfId="0" applyFont="true" applyBorder="true" applyAlignment="true" applyProtection="false">
      <alignment horizontal="left" vertical="top" textRotation="0" wrapText="true" indent="0" shrinkToFit="false"/>
      <protection locked="true" hidden="false"/>
    </xf>
    <xf numFmtId="164" fontId="46" fillId="32" borderId="20" xfId="0" applyFont="true" applyBorder="true" applyAlignment="true" applyProtection="false">
      <alignment horizontal="left" vertical="top" textRotation="0" wrapText="true" indent="0" shrinkToFit="false"/>
      <protection locked="true" hidden="false"/>
    </xf>
    <xf numFmtId="164" fontId="45" fillId="27" borderId="16" xfId="0" applyFont="true" applyBorder="true" applyAlignment="true" applyProtection="false">
      <alignment horizontal="left" vertical="top" textRotation="0" wrapText="true" indent="0" shrinkToFit="false"/>
      <protection locked="true" hidden="false"/>
    </xf>
    <xf numFmtId="164" fontId="46" fillId="27" borderId="21" xfId="0" applyFont="true" applyBorder="true" applyAlignment="true" applyProtection="false">
      <alignment horizontal="left" vertical="top" textRotation="0" wrapText="true" indent="0" shrinkToFit="false"/>
      <protection locked="true" hidden="false"/>
    </xf>
    <xf numFmtId="164" fontId="46" fillId="27" borderId="16" xfId="0" applyFont="true" applyBorder="true" applyAlignment="true" applyProtection="false">
      <alignment horizontal="general" vertical="center" textRotation="0" wrapText="true" indent="0" shrinkToFit="false"/>
      <protection locked="true" hidden="false"/>
    </xf>
    <xf numFmtId="164" fontId="46" fillId="27" borderId="16" xfId="0" applyFont="true" applyBorder="true" applyAlignment="true" applyProtection="false">
      <alignment horizontal="left" vertical="center" textRotation="0" wrapText="false" indent="0" shrinkToFit="false"/>
      <protection locked="true" hidden="false"/>
    </xf>
    <xf numFmtId="164" fontId="46" fillId="27" borderId="16" xfId="0" applyFont="true" applyBorder="true" applyAlignment="true" applyProtection="false">
      <alignment horizontal="center" vertical="center" textRotation="0" wrapText="false" indent="0" shrinkToFit="false"/>
      <protection locked="true" hidden="false"/>
    </xf>
    <xf numFmtId="166" fontId="46" fillId="27" borderId="16" xfId="61" applyFont="true" applyBorder="true" applyAlignment="true" applyProtection="false">
      <alignment horizontal="general" vertical="center" textRotation="0" wrapText="false" indent="0" shrinkToFit="false"/>
      <protection locked="true" hidden="false"/>
    </xf>
    <xf numFmtId="166" fontId="46" fillId="0" borderId="16" xfId="0" applyFont="true" applyBorder="true" applyAlignment="true" applyProtection="false">
      <alignment horizontal="center" vertical="center" textRotation="0" wrapText="false" indent="0" shrinkToFit="false"/>
      <protection locked="true" hidden="false"/>
    </xf>
    <xf numFmtId="164" fontId="47" fillId="27" borderId="22" xfId="0" applyFont="true" applyBorder="true" applyAlignment="true" applyProtection="false">
      <alignment horizontal="left" vertical="top" textRotation="0" wrapText="true" indent="0" shrinkToFit="false"/>
      <protection locked="true" hidden="false"/>
    </xf>
    <xf numFmtId="164" fontId="45" fillId="32" borderId="23" xfId="0" applyFont="true" applyBorder="true" applyAlignment="true" applyProtection="false">
      <alignment horizontal="left" vertical="top" textRotation="0" wrapText="true" indent="0" shrinkToFit="false"/>
      <protection locked="true" hidden="false"/>
    </xf>
    <xf numFmtId="164" fontId="46" fillId="32" borderId="24" xfId="0" applyFont="true" applyBorder="true" applyAlignment="true" applyProtection="false">
      <alignment horizontal="left" vertical="top" textRotation="0" wrapText="true" indent="0" shrinkToFit="false"/>
      <protection locked="true" hidden="false"/>
    </xf>
    <xf numFmtId="164" fontId="46" fillId="32" borderId="23" xfId="0" applyFont="true" applyBorder="true" applyAlignment="true" applyProtection="false">
      <alignment horizontal="general" vertical="center" textRotation="0" wrapText="true" indent="0" shrinkToFit="false"/>
      <protection locked="true" hidden="false"/>
    </xf>
    <xf numFmtId="164" fontId="46" fillId="32" borderId="25" xfId="0" applyFont="true" applyBorder="true" applyAlignment="true" applyProtection="false">
      <alignment horizontal="left" vertical="center" textRotation="0" wrapText="false" indent="0" shrinkToFit="false"/>
      <protection locked="true" hidden="false"/>
    </xf>
    <xf numFmtId="164" fontId="46" fillId="32" borderId="18" xfId="0" applyFont="true" applyBorder="true" applyAlignment="true" applyProtection="false">
      <alignment horizontal="center" vertical="center" textRotation="0" wrapText="false" indent="0" shrinkToFit="false"/>
      <protection locked="true" hidden="false"/>
    </xf>
    <xf numFmtId="166" fontId="46" fillId="32" borderId="18" xfId="61" applyFont="true" applyBorder="true" applyAlignment="true" applyProtection="false">
      <alignment horizontal="general" vertical="center" textRotation="0" wrapText="false" indent="0" shrinkToFit="false"/>
      <protection locked="true" hidden="false"/>
    </xf>
    <xf numFmtId="167" fontId="45" fillId="0" borderId="18" xfId="0" applyFont="true" applyBorder="true" applyAlignment="true" applyProtection="false">
      <alignment horizontal="center" vertical="center" textRotation="0" wrapText="true" indent="0" shrinkToFit="false"/>
      <protection locked="true" hidden="false"/>
    </xf>
    <xf numFmtId="164" fontId="46" fillId="32" borderId="9" xfId="0" applyFont="true" applyBorder="true" applyAlignment="true" applyProtection="false">
      <alignment horizontal="general" vertical="center" textRotation="0" wrapText="true" indent="0" shrinkToFit="false"/>
      <protection locked="true" hidden="false"/>
    </xf>
    <xf numFmtId="164" fontId="46" fillId="32" borderId="15" xfId="0" applyFont="true" applyBorder="true" applyAlignment="true" applyProtection="false">
      <alignment horizontal="left" vertical="center" textRotation="0" wrapText="false" indent="0" shrinkToFit="false"/>
      <protection locked="true" hidden="false"/>
    </xf>
    <xf numFmtId="164" fontId="45" fillId="27" borderId="9" xfId="0" applyFont="true" applyBorder="true" applyAlignment="true" applyProtection="false">
      <alignment horizontal="left" vertical="top" textRotation="0" wrapText="true" indent="0" shrinkToFit="false"/>
      <protection locked="true" hidden="false"/>
    </xf>
    <xf numFmtId="164" fontId="46" fillId="27" borderId="9" xfId="0" applyFont="true" applyBorder="true" applyAlignment="true" applyProtection="false">
      <alignment horizontal="left" vertical="top" textRotation="0" wrapText="true" indent="0" shrinkToFit="false"/>
      <protection locked="true" hidden="false"/>
    </xf>
    <xf numFmtId="164" fontId="46" fillId="27" borderId="9" xfId="0" applyFont="true" applyBorder="true" applyAlignment="true" applyProtection="false">
      <alignment horizontal="general" vertical="center" textRotation="0" wrapText="true" indent="0" shrinkToFit="false"/>
      <protection locked="true" hidden="false"/>
    </xf>
    <xf numFmtId="164" fontId="46" fillId="27" borderId="15" xfId="0" applyFont="true" applyBorder="true" applyAlignment="true" applyProtection="false">
      <alignment horizontal="left" vertical="center" textRotation="0" wrapText="false" indent="0" shrinkToFit="false"/>
      <protection locked="true" hidden="false"/>
    </xf>
    <xf numFmtId="164" fontId="46" fillId="27" borderId="9" xfId="0" applyFont="true" applyBorder="true" applyAlignment="true" applyProtection="false">
      <alignment horizontal="general" vertical="center" textRotation="0" wrapText="false" indent="0" shrinkToFit="false"/>
      <protection locked="true" hidden="false"/>
    </xf>
    <xf numFmtId="164" fontId="45" fillId="32" borderId="18" xfId="0" applyFont="true" applyBorder="true" applyAlignment="true" applyProtection="false">
      <alignment horizontal="left" vertical="top" textRotation="0" wrapText="true" indent="0" shrinkToFit="false"/>
      <protection locked="true" hidden="false"/>
    </xf>
    <xf numFmtId="164" fontId="46" fillId="32" borderId="26" xfId="0" applyFont="true" applyBorder="true" applyAlignment="true" applyProtection="false">
      <alignment horizontal="left" vertical="top" textRotation="0" wrapText="true" indent="0" shrinkToFit="false"/>
      <protection locked="true" hidden="false"/>
    </xf>
    <xf numFmtId="164" fontId="46" fillId="32" borderId="18" xfId="0" applyFont="true" applyBorder="true" applyAlignment="true" applyProtection="false">
      <alignment horizontal="general" vertical="center" textRotation="0" wrapText="true" indent="0" shrinkToFit="false"/>
      <protection locked="true" hidden="false"/>
    </xf>
    <xf numFmtId="164" fontId="48" fillId="38" borderId="27" xfId="0" applyFont="true" applyBorder="true" applyAlignment="true" applyProtection="false">
      <alignment horizontal="left" vertical="center" textRotation="0" wrapText="true" indent="0" shrinkToFit="false"/>
      <protection locked="true" hidden="false"/>
    </xf>
    <xf numFmtId="164" fontId="48" fillId="38" borderId="12" xfId="0" applyFont="true" applyBorder="true" applyAlignment="true" applyProtection="false">
      <alignment horizontal="general" vertical="center" textRotation="0" wrapText="true" indent="0" shrinkToFit="false"/>
      <protection locked="true" hidden="false"/>
    </xf>
    <xf numFmtId="164" fontId="32" fillId="38" borderId="12" xfId="0" applyFont="true" applyBorder="true" applyAlignment="true" applyProtection="false">
      <alignment horizontal="general" vertical="center" textRotation="0" wrapText="true" indent="0" shrinkToFit="false"/>
      <protection locked="true" hidden="false"/>
    </xf>
    <xf numFmtId="164" fontId="32" fillId="38" borderId="12" xfId="0" applyFont="true" applyBorder="true" applyAlignment="true" applyProtection="false">
      <alignment horizontal="left" vertical="center" textRotation="0" wrapText="true" indent="0" shrinkToFit="false"/>
      <protection locked="true" hidden="false"/>
    </xf>
    <xf numFmtId="164" fontId="32" fillId="38" borderId="12" xfId="0" applyFont="true" applyBorder="true" applyAlignment="true" applyProtection="false">
      <alignment horizontal="center" vertical="center" textRotation="0" wrapText="true" indent="0" shrinkToFit="false"/>
      <protection locked="true" hidden="false"/>
    </xf>
    <xf numFmtId="164" fontId="32" fillId="38" borderId="1" xfId="0" applyFont="true" applyBorder="true" applyAlignment="true" applyProtection="false">
      <alignment horizontal="general" vertical="center" textRotation="0" wrapText="true" indent="0" shrinkToFit="false"/>
      <protection locked="true" hidden="false"/>
    </xf>
    <xf numFmtId="166" fontId="32" fillId="38" borderId="1" xfId="61" applyFont="true" applyBorder="true" applyAlignment="true" applyProtection="false">
      <alignment horizontal="right" vertical="center" textRotation="0" wrapText="false" indent="0" shrinkToFit="false"/>
      <protection locked="true" hidden="false"/>
    </xf>
    <xf numFmtId="166" fontId="49" fillId="38"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33" fillId="27" borderId="28" xfId="0" applyFont="true" applyBorder="true" applyAlignment="true" applyProtection="false">
      <alignment horizontal="general" vertical="center" textRotation="0" wrapText="false" indent="0" shrinkToFit="false"/>
      <protection locked="true" hidden="false"/>
    </xf>
    <xf numFmtId="164" fontId="33" fillId="27" borderId="29" xfId="0" applyFont="true" applyBorder="true" applyAlignment="true" applyProtection="false">
      <alignment horizontal="general" vertical="center" textRotation="0" wrapText="true" indent="0" shrinkToFit="false"/>
      <protection locked="true" hidden="false"/>
    </xf>
    <xf numFmtId="164" fontId="50" fillId="27" borderId="29" xfId="0" applyFont="true" applyBorder="true" applyAlignment="true" applyProtection="false">
      <alignment horizontal="general" vertical="center" textRotation="0" wrapText="true" indent="0" shrinkToFit="false"/>
      <protection locked="true" hidden="false"/>
    </xf>
    <xf numFmtId="164" fontId="51" fillId="27" borderId="29" xfId="0" applyFont="true" applyBorder="true" applyAlignment="true" applyProtection="false">
      <alignment horizontal="left" vertical="center" textRotation="0" wrapText="true" indent="0" shrinkToFit="false"/>
      <protection locked="true" hidden="false"/>
    </xf>
    <xf numFmtId="164" fontId="51" fillId="27" borderId="29" xfId="0" applyFont="true" applyBorder="true" applyAlignment="true" applyProtection="false">
      <alignment horizontal="left" vertical="center" textRotation="0" wrapText="false" indent="0" shrinkToFit="false"/>
      <protection locked="true" hidden="false"/>
    </xf>
    <xf numFmtId="164" fontId="51" fillId="27" borderId="29" xfId="0" applyFont="true" applyBorder="true" applyAlignment="true" applyProtection="false">
      <alignment horizontal="center" vertical="center" textRotation="0" wrapText="false" indent="0" shrinkToFit="false"/>
      <protection locked="true" hidden="false"/>
    </xf>
    <xf numFmtId="166" fontId="51" fillId="27" borderId="29" xfId="61" applyFont="true" applyBorder="true" applyAlignment="true" applyProtection="false">
      <alignment horizontal="right" vertical="center" textRotation="0" wrapText="false" indent="0" shrinkToFit="false"/>
      <protection locked="true" hidden="false"/>
    </xf>
    <xf numFmtId="166" fontId="52" fillId="27" borderId="30" xfId="61" applyFont="true" applyBorder="true" applyAlignment="true" applyProtection="false">
      <alignment horizontal="general" vertical="center" textRotation="0" wrapText="false" indent="0" shrinkToFit="false"/>
      <protection locked="true" hidden="false"/>
    </xf>
    <xf numFmtId="166" fontId="51" fillId="27" borderId="15" xfId="61" applyFont="true" applyBorder="true" applyAlignment="true" applyProtection="false">
      <alignment horizontal="general" vertical="center" textRotation="0" wrapText="false" indent="0" shrinkToFit="false"/>
      <protection locked="true" hidden="false"/>
    </xf>
    <xf numFmtId="166" fontId="51" fillId="27" borderId="1" xfId="61" applyFont="true" applyBorder="true" applyAlignment="true" applyProtection="false">
      <alignment horizontal="general" vertical="center" textRotation="0" wrapText="false" indent="0" shrinkToFit="false"/>
      <protection locked="true" hidden="false"/>
    </xf>
    <xf numFmtId="166" fontId="37" fillId="27" borderId="1" xfId="0" applyFont="true" applyBorder="true" applyAlignment="true" applyProtection="false">
      <alignment horizontal="center" vertical="center" textRotation="0" wrapText="false" indent="0" shrinkToFit="false"/>
      <protection locked="true" hidden="false"/>
    </xf>
    <xf numFmtId="164" fontId="48" fillId="38" borderId="18" xfId="0" applyFont="true" applyBorder="true" applyAlignment="true" applyProtection="false">
      <alignment horizontal="general" vertical="center" textRotation="0" wrapText="true" indent="0" shrinkToFit="false"/>
      <protection locked="true" hidden="false"/>
    </xf>
    <xf numFmtId="164" fontId="32" fillId="38" borderId="18" xfId="0" applyFont="true" applyBorder="true" applyAlignment="true" applyProtection="false">
      <alignment horizontal="general" vertical="center" textRotation="0" wrapText="true" indent="0" shrinkToFit="false"/>
      <protection locked="true" hidden="false"/>
    </xf>
    <xf numFmtId="164" fontId="32" fillId="38" borderId="18" xfId="0" applyFont="true" applyBorder="true" applyAlignment="true" applyProtection="false">
      <alignment horizontal="left" vertical="center" textRotation="0" wrapText="true" indent="0" shrinkToFit="false"/>
      <protection locked="true" hidden="false"/>
    </xf>
    <xf numFmtId="164" fontId="32" fillId="38" borderId="18" xfId="0" applyFont="true" applyBorder="true" applyAlignment="true" applyProtection="false">
      <alignment horizontal="center" vertical="center" textRotation="0" wrapText="true" indent="0" shrinkToFit="false"/>
      <protection locked="true" hidden="false"/>
    </xf>
    <xf numFmtId="164" fontId="33" fillId="27" borderId="1" xfId="0" applyFont="true" applyBorder="true" applyAlignment="true" applyProtection="false">
      <alignment horizontal="left" vertical="center" textRotation="0" wrapText="true" indent="0" shrinkToFit="false"/>
      <protection locked="true" hidden="false"/>
    </xf>
    <xf numFmtId="166" fontId="34" fillId="41" borderId="1" xfId="61" applyFont="true" applyBorder="true" applyAlignment="true" applyProtection="false">
      <alignment horizontal="center" vertical="center" textRotation="0" wrapText="true" indent="0" shrinkToFit="false"/>
      <protection locked="true" hidden="false"/>
    </xf>
    <xf numFmtId="164" fontId="53" fillId="0" borderId="1" xfId="0" applyFont="true" applyBorder="true" applyAlignment="true" applyProtection="false">
      <alignment horizontal="center" vertical="center" textRotation="0" wrapText="false" indent="0" shrinkToFit="false"/>
      <protection locked="true" hidden="false"/>
    </xf>
    <xf numFmtId="168" fontId="46" fillId="0" borderId="1" xfId="61" applyFont="true" applyBorder="true" applyAlignment="true" applyProtection="false">
      <alignment horizontal="center" vertical="center" textRotation="0" wrapText="false" indent="0" shrinkToFit="false"/>
      <protection locked="true" hidden="false"/>
    </xf>
    <xf numFmtId="169" fontId="33" fillId="41" borderId="1" xfId="0" applyFont="true" applyBorder="true" applyAlignment="true" applyProtection="false">
      <alignment horizontal="center" vertical="center" textRotation="0" wrapText="false" indent="0" shrinkToFit="false"/>
      <protection locked="true" hidden="false"/>
    </xf>
    <xf numFmtId="170" fontId="33" fillId="41" borderId="1" xfId="0" applyFont="true" applyBorder="true" applyAlignment="true" applyProtection="false">
      <alignment horizontal="center" vertical="center" textRotation="0" wrapText="false" indent="0" shrinkToFit="false"/>
      <protection locked="true" hidden="false"/>
    </xf>
    <xf numFmtId="164" fontId="54" fillId="0" borderId="0" xfId="0" applyFont="true" applyBorder="false" applyAlignment="true" applyProtection="false">
      <alignment horizontal="left" vertical="center" textRotation="0" wrapText="true" indent="0" shrinkToFit="false"/>
      <protection locked="true" hidden="false"/>
    </xf>
    <xf numFmtId="164" fontId="55" fillId="0" borderId="0" xfId="0" applyFont="true" applyBorder="false" applyAlignment="true" applyProtection="false">
      <alignment horizontal="general" vertical="center" textRotation="0" wrapText="true" indent="0" shrinkToFit="false"/>
      <protection locked="true" hidden="false"/>
    </xf>
    <xf numFmtId="164" fontId="55" fillId="0" borderId="0" xfId="0" applyFont="true" applyBorder="false" applyAlignment="true" applyProtection="false">
      <alignment horizontal="general" vertical="center" textRotation="0" wrapText="false" indent="0" shrinkToFit="false"/>
      <protection locked="true" hidden="false"/>
    </xf>
    <xf numFmtId="166" fontId="55" fillId="0" borderId="0" xfId="61" applyFont="true" applyBorder="false" applyAlignment="true" applyProtection="false">
      <alignment horizontal="general" vertical="center" textRotation="0" wrapText="false" indent="0" shrinkToFit="false"/>
      <protection locked="true" hidden="false"/>
    </xf>
    <xf numFmtId="166" fontId="53" fillId="0" borderId="0" xfId="61" applyFont="true" applyBorder="false" applyAlignment="true" applyProtection="false">
      <alignment horizontal="right" vertical="center" textRotation="0" wrapText="false" indent="0" shrinkToFit="false"/>
      <protection locked="true" hidden="false"/>
    </xf>
    <xf numFmtId="166" fontId="54" fillId="0" borderId="0" xfId="61" applyFont="true" applyBorder="false" applyAlignment="true" applyProtection="false">
      <alignment horizontal="center" vertical="center"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56" fillId="0" borderId="31" xfId="0" applyFont="true" applyBorder="true" applyAlignment="true" applyProtection="false">
      <alignment horizontal="general" vertical="center" textRotation="0" wrapText="true" indent="0" shrinkToFit="false"/>
      <protection locked="true" hidden="false"/>
    </xf>
    <xf numFmtId="164" fontId="56" fillId="0" borderId="0" xfId="0" applyFont="true" applyBorder="false" applyAlignment="true" applyProtection="false">
      <alignment horizontal="general" vertical="center" textRotation="0" wrapText="true" indent="0" shrinkToFit="false"/>
      <protection locked="true" hidden="false"/>
    </xf>
    <xf numFmtId="166" fontId="4" fillId="0" borderId="0" xfId="61" applyFont="true" applyBorder="false" applyAlignment="true" applyProtection="false">
      <alignment horizontal="general" vertical="center" textRotation="0" wrapText="false" indent="0" shrinkToFit="false"/>
      <protection locked="true" hidden="false"/>
    </xf>
    <xf numFmtId="166" fontId="57" fillId="0" borderId="0" xfId="61" applyFont="true" applyBorder="false" applyAlignment="true" applyProtection="false">
      <alignment horizontal="right" vertical="center" textRotation="0" wrapText="false" indent="0" shrinkToFit="false"/>
      <protection locked="true" hidden="false"/>
    </xf>
    <xf numFmtId="164" fontId="57" fillId="0" borderId="0" xfId="0" applyFont="true" applyBorder="false" applyAlignment="true" applyProtection="false">
      <alignment horizontal="general" vertical="center" textRotation="0" wrapText="false" indent="0" shrinkToFit="false"/>
      <protection locked="true" hidden="false"/>
    </xf>
    <xf numFmtId="164" fontId="48" fillId="42" borderId="32" xfId="0" applyFont="true" applyBorder="true" applyAlignment="true" applyProtection="false">
      <alignment horizontal="general" vertical="center" textRotation="0" wrapText="false" indent="0" shrinkToFit="false"/>
      <protection locked="true" hidden="false"/>
    </xf>
    <xf numFmtId="164" fontId="48" fillId="42" borderId="33" xfId="0" applyFont="true" applyBorder="true" applyAlignment="true" applyProtection="false">
      <alignment horizontal="general" vertical="center" textRotation="0" wrapText="true" indent="0" shrinkToFit="false"/>
      <protection locked="true" hidden="false"/>
    </xf>
    <xf numFmtId="164" fontId="48" fillId="42" borderId="13" xfId="0" applyFont="true" applyBorder="true" applyAlignment="true" applyProtection="false">
      <alignment horizontal="center" vertical="center" textRotation="0" wrapText="true" indent="0" shrinkToFit="false"/>
      <protection locked="true" hidden="false"/>
    </xf>
    <xf numFmtId="164" fontId="5" fillId="0" borderId="34" xfId="0" applyFont="true" applyBorder="true" applyAlignment="true" applyProtection="false">
      <alignment horizontal="general" vertical="bottom" textRotation="0" wrapText="false" indent="0" shrinkToFit="false"/>
      <protection locked="true" hidden="false"/>
    </xf>
    <xf numFmtId="164" fontId="56" fillId="0" borderId="0" xfId="0" applyFont="true" applyBorder="true" applyAlignment="true" applyProtection="false">
      <alignment horizontal="center" vertical="bottom" textRotation="0" wrapText="true" indent="0" shrinkToFit="false"/>
      <protection locked="true" hidden="false"/>
    </xf>
    <xf numFmtId="164" fontId="46" fillId="27" borderId="32" xfId="0" applyFont="true" applyBorder="true" applyAlignment="true" applyProtection="false">
      <alignment horizontal="left" vertical="center" textRotation="0" wrapText="false" indent="0" shrinkToFit="false"/>
      <protection locked="true" hidden="false"/>
    </xf>
    <xf numFmtId="164" fontId="34" fillId="27" borderId="33" xfId="0" applyFont="true" applyBorder="true" applyAlignment="true" applyProtection="false">
      <alignment horizontal="left" vertical="center" textRotation="0" wrapText="false" indent="0" shrinkToFit="false"/>
      <protection locked="true" hidden="false"/>
    </xf>
    <xf numFmtId="166" fontId="34" fillId="0" borderId="13" xfId="61" applyFont="true" applyBorder="true" applyAlignment="true" applyProtection="false">
      <alignment horizontal="general" vertical="center" textRotation="0" wrapText="true" indent="0" shrinkToFit="false"/>
      <protection locked="true" hidden="false"/>
    </xf>
    <xf numFmtId="166" fontId="57" fillId="0" borderId="0" xfId="0" applyFont="true" applyBorder="false" applyAlignment="true" applyProtection="false">
      <alignment horizontal="right" vertical="center" textRotation="0" wrapText="false" indent="0" shrinkToFit="false"/>
      <protection locked="true" hidden="false"/>
    </xf>
    <xf numFmtId="164" fontId="58" fillId="0" borderId="0" xfId="0" applyFont="true" applyBorder="false" applyAlignment="true" applyProtection="false">
      <alignment horizontal="general" vertical="center" textRotation="0" wrapText="false" indent="0" shrinkToFit="false"/>
      <protection locked="true" hidden="false"/>
    </xf>
    <xf numFmtId="166" fontId="58" fillId="0" borderId="0" xfId="0" applyFont="true" applyBorder="false" applyAlignment="true" applyProtection="false">
      <alignment horizontal="general" vertical="center" textRotation="0" wrapText="false" indent="0" shrinkToFit="false"/>
      <protection locked="true" hidden="false"/>
    </xf>
    <xf numFmtId="164" fontId="34" fillId="27" borderId="33" xfId="0" applyFont="true" applyBorder="true" applyAlignment="true" applyProtection="false">
      <alignment horizontal="general" vertical="center" textRotation="0" wrapText="true" indent="0" shrinkToFit="false"/>
      <protection locked="true" hidden="false"/>
    </xf>
    <xf numFmtId="164" fontId="59" fillId="0" borderId="0" xfId="0" applyFont="true" applyBorder="false" applyAlignment="true" applyProtection="false">
      <alignment horizontal="general" vertical="center" textRotation="0" wrapText="false" indent="0" shrinkToFit="false"/>
      <protection locked="true" hidden="false"/>
    </xf>
    <xf numFmtId="170" fontId="60" fillId="0" borderId="0" xfId="0" applyFont="true" applyBorder="false" applyAlignment="true" applyProtection="false">
      <alignment horizontal="right" vertical="center" textRotation="0" wrapText="false" indent="0" shrinkToFit="false"/>
      <protection locked="true" hidden="false"/>
    </xf>
    <xf numFmtId="164" fontId="46" fillId="0" borderId="0" xfId="0" applyFont="true" applyBorder="false" applyAlignment="true" applyProtection="false">
      <alignment horizontal="general" vertical="center" textRotation="0" wrapText="false" indent="0" shrinkToFit="false"/>
      <protection locked="true" hidden="false"/>
    </xf>
    <xf numFmtId="164" fontId="61" fillId="0" borderId="0" xfId="0" applyFont="true" applyBorder="false" applyAlignment="true" applyProtection="false">
      <alignment horizontal="general" vertical="center" textRotation="0" wrapText="false" indent="0" shrinkToFit="false"/>
      <protection locked="true" hidden="false"/>
    </xf>
    <xf numFmtId="164" fontId="58" fillId="0" borderId="31" xfId="0" applyFont="true" applyBorder="true" applyAlignment="true" applyProtection="false">
      <alignment horizontal="general" vertical="center" textRotation="0" wrapText="false" indent="0" shrinkToFit="false"/>
      <protection locked="true" hidden="false"/>
    </xf>
    <xf numFmtId="164" fontId="4" fillId="0" borderId="31" xfId="0" applyFont="true" applyBorder="true" applyAlignment="true" applyProtection="false">
      <alignment horizontal="general" vertical="center" textRotation="0" wrapText="false" indent="0" shrinkToFit="false"/>
      <protection locked="true" hidden="false"/>
    </xf>
    <xf numFmtId="167" fontId="62" fillId="0" borderId="31" xfId="0" applyFont="true" applyBorder="true" applyAlignment="true" applyProtection="false">
      <alignment horizontal="general" vertical="bottom" textRotation="0" wrapText="false" indent="0" shrinkToFit="false"/>
      <protection locked="true" hidden="false"/>
    </xf>
    <xf numFmtId="164" fontId="46" fillId="0" borderId="31" xfId="0" applyFont="true" applyBorder="true" applyAlignment="true" applyProtection="false">
      <alignment horizontal="general" vertical="center" textRotation="0" wrapText="false" indent="0" shrinkToFit="false"/>
      <protection locked="true" hidden="false"/>
    </xf>
    <xf numFmtId="164" fontId="61" fillId="0" borderId="31" xfId="0" applyFont="true" applyBorder="true" applyAlignment="true" applyProtection="false">
      <alignment horizontal="general" vertical="center" textRotation="0" wrapText="false" indent="0" shrinkToFit="false"/>
      <protection locked="true" hidden="false"/>
    </xf>
    <xf numFmtId="166" fontId="58" fillId="0" borderId="31" xfId="0" applyFont="true" applyBorder="true" applyAlignment="true" applyProtection="false">
      <alignment horizontal="right" vertical="center" textRotation="0" wrapText="false" indent="0" shrinkToFit="false"/>
      <protection locked="true" hidden="false"/>
    </xf>
    <xf numFmtId="166" fontId="63" fillId="0" borderId="0" xfId="61" applyFont="true" applyBorder="false" applyAlignment="true" applyProtection="false">
      <alignment horizontal="right" vertical="center" textRotation="0" wrapText="false" indent="0" shrinkToFit="false"/>
      <protection locked="true" hidden="false"/>
    </xf>
    <xf numFmtId="164" fontId="37" fillId="0" borderId="0" xfId="0" applyFont="true" applyBorder="false" applyAlignment="true" applyProtection="false">
      <alignment horizontal="general" vertical="center" textRotation="0" wrapText="false" indent="0" shrinkToFit="false"/>
      <protection locked="true" hidden="false"/>
    </xf>
    <xf numFmtId="164" fontId="64" fillId="0" borderId="0" xfId="0" applyFont="true" applyBorder="false" applyAlignment="true" applyProtection="false">
      <alignment horizontal="general" vertical="center" textRotation="0" wrapText="false" indent="0" shrinkToFit="false"/>
      <protection locked="true" hidden="false"/>
    </xf>
    <xf numFmtId="164" fontId="63" fillId="0" borderId="0" xfId="0" applyFont="true" applyBorder="false" applyAlignment="true" applyProtection="false">
      <alignment horizontal="right" vertical="center" textRotation="0" wrapText="false" indent="0" shrinkToFit="false"/>
      <protection locked="true" hidden="false"/>
    </xf>
    <xf numFmtId="164" fontId="58" fillId="0" borderId="0" xfId="0" applyFont="true" applyBorder="false" applyAlignment="true" applyProtection="false">
      <alignment horizontal="general" vertical="center" textRotation="0" wrapText="true" indent="0" shrinkToFit="false"/>
      <protection locked="true" hidden="false"/>
    </xf>
    <xf numFmtId="164" fontId="65" fillId="0" borderId="0" xfId="0" applyFont="true" applyBorder="false" applyAlignment="true" applyProtection="false">
      <alignment horizontal="general" vertical="center" textRotation="0" wrapText="true" indent="0" shrinkToFit="false"/>
      <protection locked="true" hidden="false"/>
    </xf>
    <xf numFmtId="164" fontId="45" fillId="0" borderId="0" xfId="0" applyFont="true" applyBorder="false" applyAlignment="true" applyProtection="false">
      <alignment horizontal="general" vertical="center" textRotation="0" wrapText="true" indent="0" shrinkToFit="false"/>
      <protection locked="true" hidden="false"/>
    </xf>
    <xf numFmtId="166" fontId="66" fillId="0" borderId="0" xfId="0" applyFont="true" applyBorder="false" applyAlignment="true" applyProtection="false">
      <alignment horizontal="right" vertical="center" textRotation="0" wrapText="false" indent="0" shrinkToFit="false"/>
      <protection locked="true" hidden="false"/>
    </xf>
    <xf numFmtId="164" fontId="58" fillId="0" borderId="0" xfId="0" applyFont="true" applyBorder="false" applyAlignment="true" applyProtection="false">
      <alignment horizontal="left" vertical="center" textRotation="0" wrapText="true" indent="0" shrinkToFit="false"/>
      <protection locked="true" hidden="false"/>
    </xf>
    <xf numFmtId="166" fontId="67" fillId="0" borderId="0" xfId="0" applyFont="true" applyBorder="false" applyAlignment="true" applyProtection="false">
      <alignment horizontal="right" vertical="center" textRotation="0" wrapText="false" indent="0" shrinkToFit="false"/>
      <protection locked="true" hidden="false"/>
    </xf>
    <xf numFmtId="166" fontId="45" fillId="0" borderId="0" xfId="0" applyFont="true" applyBorder="false" applyAlignment="true" applyProtection="false">
      <alignment horizontal="right" vertical="center" textRotation="0" wrapText="false" indent="0" shrinkToFit="false"/>
      <protection locked="true" hidden="false"/>
    </xf>
    <xf numFmtId="171" fontId="68" fillId="0" borderId="0" xfId="0" applyFont="true" applyBorder="false" applyAlignment="true" applyProtection="false">
      <alignment horizontal="right" vertical="center" textRotation="0" wrapText="false" indent="0" shrinkToFit="false"/>
      <protection locked="true" hidden="false"/>
    </xf>
    <xf numFmtId="164" fontId="69" fillId="0" borderId="35" xfId="0" applyFont="true" applyBorder="true" applyAlignment="true" applyProtection="false">
      <alignment horizontal="general" vertical="center" textRotation="0" wrapText="false" indent="0" shrinkToFit="false"/>
      <protection locked="true" hidden="false"/>
    </xf>
    <xf numFmtId="164" fontId="63" fillId="0" borderId="35" xfId="0" applyFont="true" applyBorder="true" applyAlignment="true" applyProtection="false">
      <alignment horizontal="right" vertical="center" textRotation="0" wrapText="false" indent="0" shrinkToFit="false"/>
      <protection locked="true" hidden="false"/>
    </xf>
    <xf numFmtId="164" fontId="69" fillId="0" borderId="0" xfId="0" applyFont="true" applyBorder="false" applyAlignment="true" applyProtection="false">
      <alignment horizontal="general" vertical="bottom" textRotation="0" wrapText="false" indent="0" shrinkToFit="false"/>
      <protection locked="true" hidden="false"/>
    </xf>
    <xf numFmtId="164" fontId="69" fillId="0" borderId="0" xfId="0" applyFont="true" applyBorder="false" applyAlignment="true" applyProtection="false">
      <alignment horizontal="right" vertical="bottom" textRotation="0" wrapText="false" indent="0" shrinkToFit="false"/>
      <protection locked="true" hidden="false"/>
    </xf>
    <xf numFmtId="164" fontId="32" fillId="42" borderId="0" xfId="0" applyFont="true" applyBorder="false" applyAlignment="true" applyProtection="false">
      <alignment horizontal="general" vertical="center" textRotation="0" wrapText="false" indent="0" shrinkToFit="false"/>
      <protection locked="true" hidden="false"/>
    </xf>
    <xf numFmtId="172" fontId="32" fillId="42" borderId="0" xfId="0" applyFont="true" applyBorder="false" applyAlignment="true" applyProtection="false">
      <alignment horizontal="right" vertical="center" textRotation="0" wrapText="false" indent="0" shrinkToFit="false"/>
      <protection locked="true" hidden="false"/>
    </xf>
    <xf numFmtId="166" fontId="70" fillId="0" borderId="0" xfId="0" applyFont="true" applyBorder="false" applyAlignment="true" applyProtection="false">
      <alignment horizontal="right" vertical="center" textRotation="0" wrapText="false" indent="0" shrinkToFit="false"/>
      <protection locked="true" hidden="false"/>
    </xf>
    <xf numFmtId="166" fontId="48" fillId="42" borderId="13" xfId="61" applyFont="true" applyBorder="true" applyAlignment="true" applyProtection="false">
      <alignment horizontal="general" vertical="center" textRotation="0" wrapText="true" indent="0" shrinkToFit="false"/>
      <protection locked="true" hidden="false"/>
    </xf>
    <xf numFmtId="164" fontId="71"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right" vertical="center" textRotation="0" wrapText="false" indent="0" shrinkToFit="false"/>
      <protection locked="true" hidden="false"/>
    </xf>
    <xf numFmtId="164" fontId="72" fillId="0" borderId="0" xfId="0" applyFont="true" applyBorder="true" applyAlignment="true" applyProtection="false">
      <alignment horizontal="left" vertical="center" textRotation="0" wrapText="true" indent="0" shrinkToFit="false"/>
      <protection locked="true" hidden="false"/>
    </xf>
    <xf numFmtId="164" fontId="72" fillId="0" borderId="0" xfId="0" applyFont="true" applyBorder="false" applyAlignment="true" applyProtection="false">
      <alignment horizontal="left" vertical="center" textRotation="0" wrapText="true" indent="0" shrinkToFit="false"/>
      <protection locked="true" hidden="false"/>
    </xf>
    <xf numFmtId="166" fontId="72" fillId="0" borderId="0" xfId="0" applyFont="true" applyBorder="false" applyAlignment="true" applyProtection="false">
      <alignment horizontal="left" vertical="center" textRotation="0" wrapText="true" indent="0" shrinkToFit="false"/>
      <protection locked="true" hidden="false"/>
    </xf>
    <xf numFmtId="164" fontId="33" fillId="27" borderId="33" xfId="0" applyFont="true" applyBorder="true" applyAlignment="true" applyProtection="false">
      <alignment horizontal="left" vertical="center" textRotation="0" wrapText="true" indent="0" shrinkToFit="false"/>
      <protection locked="true" hidden="false"/>
    </xf>
    <xf numFmtId="164" fontId="34" fillId="0" borderId="13" xfId="0" applyFont="true" applyBorder="true" applyAlignment="true" applyProtection="false">
      <alignment horizontal="general" vertical="center" textRotation="0" wrapText="true" indent="0" shrinkToFit="false"/>
      <protection locked="true" hidden="false"/>
    </xf>
    <xf numFmtId="164" fontId="33" fillId="41" borderId="36"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73" fillId="0" borderId="0" xfId="0" applyFont="true" applyBorder="false" applyAlignment="true" applyProtection="false">
      <alignment horizontal="center" vertical="center" textRotation="0" wrapText="false" indent="0" shrinkToFit="false"/>
      <protection locked="true" hidden="false"/>
    </xf>
    <xf numFmtId="164" fontId="73" fillId="0" borderId="0" xfId="0" applyFont="true" applyBorder="false" applyAlignment="true" applyProtection="false">
      <alignment horizontal="general" vertical="center" textRotation="0" wrapText="false" indent="0" shrinkToFit="false"/>
      <protection locked="true" hidden="false"/>
    </xf>
    <xf numFmtId="164" fontId="51" fillId="0" borderId="0" xfId="0" applyFont="true" applyBorder="false" applyAlignment="true" applyProtection="false">
      <alignment horizontal="general" vertical="center" textRotation="0" wrapText="true" indent="0" shrinkToFit="false"/>
      <protection locked="true" hidden="false"/>
    </xf>
    <xf numFmtId="164" fontId="34" fillId="0" borderId="0" xfId="0" applyFont="true" applyBorder="false" applyAlignment="true" applyProtection="false">
      <alignment horizontal="general" vertical="center" textRotation="0" wrapText="true" indent="0" shrinkToFit="false"/>
      <protection locked="true" hidden="false"/>
    </xf>
    <xf numFmtId="164" fontId="74" fillId="0" borderId="0" xfId="0" applyFont="true" applyBorder="false" applyAlignment="true" applyProtection="false">
      <alignment horizontal="general" vertical="bottom" textRotation="0" wrapText="false" indent="0" shrinkToFit="false"/>
      <protection locked="true" hidden="false"/>
    </xf>
    <xf numFmtId="164" fontId="73" fillId="0" borderId="0" xfId="0" applyFont="true" applyBorder="false" applyAlignment="true" applyProtection="false">
      <alignment horizontal="center" vertical="bottom" textRotation="0" wrapText="false" indent="0" shrinkToFit="false"/>
      <protection locked="true" hidden="false"/>
    </xf>
    <xf numFmtId="164" fontId="73" fillId="0" borderId="0" xfId="0" applyFont="true" applyBorder="false" applyAlignment="true" applyProtection="false">
      <alignment horizontal="general" vertical="bottom" textRotation="0" wrapText="false" indent="0" shrinkToFit="false"/>
      <protection locked="true" hidden="false"/>
    </xf>
    <xf numFmtId="164" fontId="32" fillId="38" borderId="9" xfId="0" applyFont="true" applyBorder="true" applyAlignment="true" applyProtection="false">
      <alignment horizontal="center" vertical="center" textRotation="0" wrapText="true" indent="0" shrinkToFit="false"/>
      <protection locked="true" hidden="false"/>
    </xf>
    <xf numFmtId="173" fontId="36" fillId="40" borderId="9" xfId="61" applyFont="true" applyBorder="true" applyAlignment="true" applyProtection="false">
      <alignment horizontal="left" vertical="center" textRotation="0" wrapText="true" indent="0" shrinkToFit="false"/>
      <protection locked="true" hidden="false"/>
    </xf>
    <xf numFmtId="166" fontId="45" fillId="40" borderId="9" xfId="61" applyFont="true" applyBorder="true" applyAlignment="true" applyProtection="false">
      <alignment horizontal="left" vertical="center" textRotation="0" wrapText="true" indent="0" shrinkToFit="false"/>
      <protection locked="true" hidden="false"/>
    </xf>
    <xf numFmtId="171" fontId="75" fillId="40" borderId="28" xfId="61" applyFont="true" applyBorder="true" applyAlignment="true" applyProtection="false">
      <alignment horizontal="general" vertical="center" textRotation="0" wrapText="true" indent="0" shrinkToFit="false"/>
      <protection locked="true" hidden="false"/>
    </xf>
    <xf numFmtId="166" fontId="75" fillId="33" borderId="29" xfId="61" applyFont="true" applyBorder="true" applyAlignment="true" applyProtection="false">
      <alignment horizontal="general" vertical="center" textRotation="0" wrapText="true" indent="0" shrinkToFit="false"/>
      <protection locked="true" hidden="false"/>
    </xf>
    <xf numFmtId="166" fontId="75" fillId="33" borderId="30" xfId="61" applyFont="true" applyBorder="true" applyAlignment="true" applyProtection="false">
      <alignment horizontal="general" vertical="center" textRotation="0" wrapText="true" indent="0" shrinkToFit="false"/>
      <protection locked="true" hidden="false"/>
    </xf>
    <xf numFmtId="166" fontId="45" fillId="33" borderId="9" xfId="61"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6" fontId="46" fillId="0" borderId="9" xfId="61" applyFont="true" applyBorder="true" applyAlignment="true" applyProtection="false">
      <alignment horizontal="left" vertical="center" textRotation="0" wrapText="true" indent="0" shrinkToFit="false"/>
      <protection locked="true" hidden="false"/>
    </xf>
    <xf numFmtId="166" fontId="46" fillId="0" borderId="9" xfId="61" applyFont="true" applyBorder="true" applyAlignment="true" applyProtection="false">
      <alignment horizontal="general" vertical="center" textRotation="0" wrapText="false" indent="0" shrinkToFit="false"/>
      <protection locked="true" hidden="false"/>
    </xf>
    <xf numFmtId="167" fontId="46" fillId="0" borderId="9" xfId="61" applyFont="true" applyBorder="true" applyAlignment="true" applyProtection="false">
      <alignment horizontal="center" vertical="center" textRotation="0" wrapText="false" indent="0" shrinkToFit="false"/>
      <protection locked="true" hidden="false"/>
    </xf>
    <xf numFmtId="166" fontId="46" fillId="43" borderId="9" xfId="61" applyFont="true" applyBorder="true" applyAlignment="true" applyProtection="false">
      <alignment horizontal="center" vertical="center" textRotation="0" wrapText="true" indent="0" shrinkToFit="false"/>
      <protection locked="true" hidden="false"/>
    </xf>
    <xf numFmtId="166" fontId="46" fillId="0" borderId="9" xfId="61" applyFont="true" applyBorder="true" applyAlignment="true" applyProtection="false">
      <alignment horizontal="center" vertical="center" textRotation="0" wrapText="true" indent="0" shrinkToFit="false"/>
      <protection locked="true" hidden="false"/>
    </xf>
    <xf numFmtId="166" fontId="36" fillId="40" borderId="9" xfId="61" applyFont="true" applyBorder="true" applyAlignment="true" applyProtection="false">
      <alignment horizontal="left" vertical="center" textRotation="0" wrapText="true" indent="0" shrinkToFit="false"/>
      <protection locked="true" hidden="false"/>
    </xf>
    <xf numFmtId="171" fontId="45" fillId="40" borderId="28" xfId="61" applyFont="true" applyBorder="true" applyAlignment="true" applyProtection="false">
      <alignment horizontal="general" vertical="center" textRotation="0" wrapText="true" indent="0" shrinkToFit="false"/>
      <protection locked="true" hidden="false"/>
    </xf>
    <xf numFmtId="166" fontId="45" fillId="33" borderId="29" xfId="61" applyFont="true" applyBorder="true" applyAlignment="true" applyProtection="false">
      <alignment horizontal="general" vertical="center" textRotation="0" wrapText="true" indent="0" shrinkToFit="false"/>
      <protection locked="true" hidden="false"/>
    </xf>
    <xf numFmtId="166" fontId="45" fillId="33" borderId="30" xfId="61" applyFont="true" applyBorder="true" applyAlignment="true" applyProtection="false">
      <alignment horizontal="general" vertical="center" textRotation="0" wrapText="true" indent="0" shrinkToFit="false"/>
      <protection locked="true" hidden="false"/>
    </xf>
    <xf numFmtId="166" fontId="46" fillId="43" borderId="9" xfId="61" applyFont="true" applyBorder="true" applyAlignment="true" applyProtection="false">
      <alignment horizontal="center" vertical="center" textRotation="0" wrapText="false" indent="0" shrinkToFit="false"/>
      <protection locked="true" hidden="false"/>
    </xf>
    <xf numFmtId="166" fontId="46" fillId="0" borderId="9" xfId="61" applyFont="true" applyBorder="true" applyAlignment="true" applyProtection="false">
      <alignment horizontal="center" vertical="center" textRotation="0" wrapText="false" indent="0" shrinkToFit="false"/>
      <protection locked="true" hidden="false"/>
    </xf>
    <xf numFmtId="166" fontId="35" fillId="0" borderId="0" xfId="61" applyFont="true" applyBorder="false" applyAlignment="true" applyProtection="false">
      <alignment horizontal="general" vertical="center" textRotation="0" wrapText="false" indent="0" shrinkToFit="false"/>
      <protection locked="true" hidden="false"/>
    </xf>
    <xf numFmtId="166" fontId="45" fillId="43" borderId="9" xfId="61" applyFont="true" applyBorder="true" applyAlignment="true" applyProtection="false">
      <alignment horizontal="left" vertical="center" textRotation="0" wrapText="true" indent="0" shrinkToFit="false"/>
      <protection locked="true" hidden="false"/>
    </xf>
    <xf numFmtId="166" fontId="46" fillId="43" borderId="9" xfId="61" applyFont="true" applyBorder="true" applyAlignment="true" applyProtection="false">
      <alignment horizontal="left" vertical="center" textRotation="0" wrapText="true" indent="0" shrinkToFit="false"/>
      <protection locked="true" hidden="false"/>
    </xf>
    <xf numFmtId="167" fontId="46" fillId="43" borderId="9" xfId="61" applyFont="true" applyBorder="true" applyAlignment="true" applyProtection="false">
      <alignment horizontal="center" vertical="center" textRotation="0" wrapText="false" indent="0" shrinkToFit="false"/>
      <protection locked="true" hidden="false"/>
    </xf>
    <xf numFmtId="166" fontId="45" fillId="43" borderId="9" xfId="61" applyFont="true" applyBorder="true" applyAlignment="true" applyProtection="false">
      <alignment horizontal="center" vertical="center" textRotation="0" wrapText="false" indent="0" shrinkToFit="false"/>
      <protection locked="true" hidden="false"/>
    </xf>
    <xf numFmtId="166" fontId="45" fillId="43" borderId="9" xfId="0" applyFont="true" applyBorder="true" applyAlignment="true" applyProtection="false">
      <alignment horizontal="center" vertical="center" textRotation="0" wrapText="true" indent="0" shrinkToFit="false"/>
      <protection locked="true" hidden="false"/>
    </xf>
    <xf numFmtId="164" fontId="45" fillId="0" borderId="9" xfId="0" applyFont="true" applyBorder="true" applyAlignment="true" applyProtection="false">
      <alignment horizontal="general" vertical="center" textRotation="0" wrapText="false" indent="0" shrinkToFit="false"/>
      <protection locked="true" hidden="false"/>
    </xf>
    <xf numFmtId="164" fontId="46" fillId="0" borderId="9" xfId="0" applyFont="true" applyBorder="true" applyAlignment="true" applyProtection="false">
      <alignment horizontal="general" vertical="center" textRotation="0" wrapText="false" indent="0" shrinkToFit="false"/>
      <protection locked="true" hidden="false"/>
    </xf>
    <xf numFmtId="164" fontId="46" fillId="0" borderId="9" xfId="0" applyFont="true" applyBorder="true" applyAlignment="true" applyProtection="false">
      <alignment horizontal="center" vertical="center" textRotation="0" wrapText="false" indent="0" shrinkToFit="false"/>
      <protection locked="true" hidden="false"/>
    </xf>
    <xf numFmtId="164" fontId="46" fillId="43" borderId="9" xfId="0" applyFont="true" applyBorder="true" applyAlignment="true" applyProtection="false">
      <alignment horizontal="general" vertical="center" textRotation="0" wrapText="false" indent="0" shrinkToFit="false"/>
      <protection locked="true" hidden="false"/>
    </xf>
    <xf numFmtId="166" fontId="46" fillId="43" borderId="9" xfId="0" applyFont="true" applyBorder="true" applyAlignment="true" applyProtection="false">
      <alignment horizontal="general" vertical="center"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6" fontId="32" fillId="38" borderId="9" xfId="0" applyFont="true" applyBorder="true" applyAlignment="true" applyProtection="false">
      <alignment horizontal="general" vertical="center" textRotation="0" wrapText="false" indent="0" shrinkToFit="false"/>
      <protection locked="true" hidden="false"/>
    </xf>
    <xf numFmtId="166" fontId="32" fillId="38" borderId="9" xfId="0" applyFont="true" applyBorder="true" applyAlignment="true" applyProtection="false">
      <alignment horizontal="center" vertical="center" textRotation="0" wrapText="false" indent="0" shrinkToFit="false"/>
      <protection locked="true" hidden="false"/>
    </xf>
    <xf numFmtId="166" fontId="46" fillId="43" borderId="9" xfId="0" applyFont="true" applyBorder="true" applyAlignment="true" applyProtection="false">
      <alignment horizontal="center" vertical="center" textRotation="0" wrapText="false" indent="0" shrinkToFit="false"/>
      <protection locked="true" hidden="false"/>
    </xf>
    <xf numFmtId="164" fontId="47" fillId="43" borderId="9" xfId="0" applyFont="true" applyBorder="true" applyAlignment="true" applyProtection="false">
      <alignment horizontal="center" vertical="center" textRotation="0" wrapText="true" indent="0" shrinkToFit="false"/>
      <protection locked="true" hidden="false"/>
    </xf>
    <xf numFmtId="166" fontId="49" fillId="32" borderId="0" xfId="0" applyFont="true" applyBorder="false" applyAlignment="true" applyProtection="false">
      <alignment horizontal="general" vertical="center" textRotation="0" wrapText="false" indent="0" shrinkToFit="false"/>
      <protection locked="true" hidden="false"/>
    </xf>
    <xf numFmtId="166" fontId="49" fillId="32" borderId="0" xfId="0" applyFont="true" applyBorder="false" applyAlignment="true" applyProtection="false">
      <alignment horizontal="center" vertical="center" textRotation="0" wrapText="false" indent="0" shrinkToFit="false"/>
      <protection locked="true" hidden="false"/>
    </xf>
    <xf numFmtId="164" fontId="32" fillId="32" borderId="0" xfId="0" applyFont="true" applyBorder="false" applyAlignment="true" applyProtection="false">
      <alignment horizontal="center" vertical="center" textRotation="0" wrapText="true" indent="0" shrinkToFit="false"/>
      <protection locked="true" hidden="false"/>
    </xf>
    <xf numFmtId="164" fontId="60" fillId="0" borderId="0" xfId="0" applyFont="true" applyBorder="false" applyAlignment="true" applyProtection="false">
      <alignment horizontal="general" vertical="center" textRotation="0" wrapText="false" indent="0" shrinkToFit="false"/>
      <protection locked="true" hidden="false"/>
    </xf>
    <xf numFmtId="164" fontId="76" fillId="0" borderId="0" xfId="0" applyFont="true" applyBorder="false" applyAlignment="true" applyProtection="false">
      <alignment horizontal="general" vertical="center" textRotation="0" wrapText="false" indent="0" shrinkToFit="false"/>
      <protection locked="true" hidden="false"/>
    </xf>
    <xf numFmtId="164" fontId="53" fillId="0" borderId="0" xfId="0" applyFont="true" applyBorder="false" applyAlignment="true" applyProtection="false">
      <alignment horizontal="center" vertical="center" textRotation="0" wrapText="false" indent="0" shrinkToFit="false"/>
      <protection locked="true" hidden="false"/>
    </xf>
    <xf numFmtId="164" fontId="57"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7" fillId="32" borderId="0" xfId="0" applyFont="true" applyBorder="false" applyAlignment="true" applyProtection="false">
      <alignment horizontal="general" vertical="center" textRotation="0" wrapText="false" indent="0" shrinkToFit="false"/>
      <protection locked="true" hidden="false"/>
    </xf>
    <xf numFmtId="164" fontId="48" fillId="38" borderId="9" xfId="0" applyFont="true" applyBorder="true" applyAlignment="true" applyProtection="false">
      <alignment horizontal="center" vertical="center" textRotation="0" wrapText="true" indent="0" shrinkToFit="false"/>
      <protection locked="true" hidden="false"/>
    </xf>
    <xf numFmtId="164" fontId="48" fillId="38" borderId="9" xfId="0" applyFont="true" applyBorder="true" applyAlignment="true" applyProtection="false">
      <alignment horizontal="center" vertical="center" textRotation="0" wrapText="false" indent="0" shrinkToFit="false"/>
      <protection locked="true" hidden="false"/>
    </xf>
    <xf numFmtId="164" fontId="45" fillId="0" borderId="9" xfId="0" applyFont="true" applyBorder="true" applyAlignment="true" applyProtection="false">
      <alignment horizontal="right" vertical="center" textRotation="0" wrapText="true" indent="0" shrinkToFit="false"/>
      <protection locked="true" hidden="false"/>
    </xf>
    <xf numFmtId="164" fontId="45" fillId="7" borderId="28" xfId="0" applyFont="true" applyBorder="true" applyAlignment="true" applyProtection="false">
      <alignment horizontal="general" vertical="center" textRotation="0" wrapText="true" indent="0" shrinkToFit="false"/>
      <protection locked="true" hidden="false"/>
    </xf>
    <xf numFmtId="166" fontId="45" fillId="7" borderId="29" xfId="61" applyFont="true" applyBorder="true" applyAlignment="true" applyProtection="false">
      <alignment horizontal="general" vertical="center" textRotation="0" wrapText="true" indent="0" shrinkToFit="false"/>
      <protection locked="true" hidden="false"/>
    </xf>
    <xf numFmtId="166" fontId="45" fillId="7" borderId="30" xfId="61" applyFont="true" applyBorder="true" applyAlignment="true" applyProtection="false">
      <alignment horizontal="general" vertical="center" textRotation="0" wrapText="true" indent="0" shrinkToFit="false"/>
      <protection locked="true" hidden="false"/>
    </xf>
    <xf numFmtId="164" fontId="45" fillId="27" borderId="28" xfId="0" applyFont="true" applyBorder="true" applyAlignment="true" applyProtection="false">
      <alignment horizontal="left" vertical="center" textRotation="0" wrapText="true" indent="0" shrinkToFit="false"/>
      <protection locked="true" hidden="false"/>
    </xf>
    <xf numFmtId="166" fontId="45" fillId="27" borderId="29" xfId="61" applyFont="true" applyBorder="true" applyAlignment="true" applyProtection="false">
      <alignment horizontal="general" vertical="center" textRotation="0" wrapText="true" indent="0" shrinkToFit="false"/>
      <protection locked="true" hidden="false"/>
    </xf>
    <xf numFmtId="166" fontId="45" fillId="27" borderId="30" xfId="61" applyFont="true" applyBorder="true" applyAlignment="true" applyProtection="false">
      <alignment horizontal="general" vertical="center" textRotation="0" wrapText="true" indent="0" shrinkToFit="false"/>
      <protection locked="true" hidden="false"/>
    </xf>
    <xf numFmtId="164" fontId="46" fillId="0" borderId="9" xfId="0" applyFont="true" applyBorder="true" applyAlignment="true" applyProtection="false">
      <alignment horizontal="left" vertical="center" textRotation="0" wrapText="true" indent="0" shrinkToFit="false"/>
      <protection locked="true" hidden="false"/>
    </xf>
    <xf numFmtId="166" fontId="46" fillId="0" borderId="9" xfId="61" applyFont="true" applyBorder="true" applyAlignment="true" applyProtection="false">
      <alignment horizontal="left" vertical="center" textRotation="0" wrapText="false" indent="0" shrinkToFit="false"/>
      <protection locked="true" hidden="false"/>
    </xf>
    <xf numFmtId="164" fontId="46" fillId="0" borderId="37" xfId="0" applyFont="true" applyBorder="true" applyAlignment="true" applyProtection="false">
      <alignment horizontal="left" vertical="center" textRotation="0" wrapText="true" indent="0" shrinkToFit="false"/>
      <protection locked="true" hidden="false"/>
    </xf>
    <xf numFmtId="166" fontId="46" fillId="0" borderId="37" xfId="61" applyFont="true" applyBorder="true" applyAlignment="true" applyProtection="false">
      <alignment horizontal="general" vertical="center" textRotation="0" wrapText="false" indent="0" shrinkToFit="false"/>
      <protection locked="true" hidden="false"/>
    </xf>
    <xf numFmtId="166" fontId="46" fillId="27" borderId="29" xfId="61" applyFont="true" applyBorder="true" applyAlignment="true" applyProtection="false">
      <alignment horizontal="general" vertical="center" textRotation="0" wrapText="false" indent="0" shrinkToFit="false"/>
      <protection locked="true" hidden="false"/>
    </xf>
    <xf numFmtId="166" fontId="46" fillId="27" borderId="30" xfId="61" applyFont="true" applyBorder="true" applyAlignment="true" applyProtection="false">
      <alignment horizontal="general" vertical="center" textRotation="0" wrapText="false" indent="0" shrinkToFit="false"/>
      <protection locked="true" hidden="false"/>
    </xf>
    <xf numFmtId="164" fontId="46" fillId="0" borderId="23" xfId="0" applyFont="true" applyBorder="true" applyAlignment="true" applyProtection="false">
      <alignment horizontal="left" vertical="center" textRotation="0" wrapText="true" indent="0" shrinkToFit="false"/>
      <protection locked="true" hidden="false"/>
    </xf>
    <xf numFmtId="166" fontId="46" fillId="0" borderId="23" xfId="61" applyFont="true" applyBorder="true" applyAlignment="true" applyProtection="false">
      <alignment horizontal="general" vertical="center" textRotation="0" wrapText="false" indent="0" shrinkToFit="false"/>
      <protection locked="true" hidden="false"/>
    </xf>
    <xf numFmtId="166" fontId="46" fillId="7" borderId="29" xfId="61" applyFont="true" applyBorder="true" applyAlignment="true" applyProtection="false">
      <alignment horizontal="general" vertical="center" textRotation="0" wrapText="false" indent="0" shrinkToFit="false"/>
      <protection locked="true" hidden="false"/>
    </xf>
    <xf numFmtId="166" fontId="46" fillId="7" borderId="30" xfId="61" applyFont="true" applyBorder="true" applyAlignment="true" applyProtection="false">
      <alignment horizontal="general" vertical="center" textRotation="0" wrapText="false" indent="0" shrinkToFit="false"/>
      <protection locked="true" hidden="false"/>
    </xf>
    <xf numFmtId="164" fontId="45" fillId="27" borderId="0" xfId="0" applyFont="true" applyBorder="false" applyAlignment="true" applyProtection="false">
      <alignment horizontal="left" vertical="center" textRotation="0" wrapText="true" indent="0" shrinkToFit="false"/>
      <protection locked="true" hidden="false"/>
    </xf>
    <xf numFmtId="166" fontId="46" fillId="27" borderId="0" xfId="61" applyFont="true" applyBorder="false" applyAlignment="true" applyProtection="false">
      <alignment horizontal="general" vertical="center" textRotation="0" wrapText="false" indent="0" shrinkToFit="false"/>
      <protection locked="true" hidden="false"/>
    </xf>
    <xf numFmtId="164" fontId="46" fillId="0" borderId="38" xfId="0" applyFont="true" applyBorder="true" applyAlignment="true" applyProtection="false">
      <alignment horizontal="left" vertical="center" textRotation="0" wrapText="true" indent="0" shrinkToFit="false"/>
      <protection locked="true" hidden="false"/>
    </xf>
    <xf numFmtId="166" fontId="46" fillId="0" borderId="38" xfId="61" applyFont="true" applyBorder="true" applyAlignment="true" applyProtection="false">
      <alignment horizontal="general" vertical="center" textRotation="0" wrapText="false" indent="0" shrinkToFit="false"/>
      <protection locked="true" hidden="false"/>
    </xf>
    <xf numFmtId="166" fontId="46" fillId="0" borderId="38" xfId="61" applyFont="true" applyBorder="true" applyAlignment="true" applyProtection="false">
      <alignment horizontal="left" vertical="center" textRotation="0" wrapText="false" indent="0" shrinkToFit="false"/>
      <protection locked="true" hidden="false"/>
    </xf>
    <xf numFmtId="164" fontId="48" fillId="38" borderId="9" xfId="0" applyFont="true" applyBorder="true" applyAlignment="true" applyProtection="false">
      <alignment horizontal="general" vertical="center" textRotation="0" wrapText="true" indent="0" shrinkToFit="false"/>
      <protection locked="true" hidden="false"/>
    </xf>
    <xf numFmtId="166" fontId="48" fillId="38" borderId="9" xfId="0" applyFont="true" applyBorder="true" applyAlignment="true" applyProtection="false">
      <alignment horizontal="general" vertical="center" textRotation="0" wrapText="false" indent="0" shrinkToFit="false"/>
      <protection locked="true" hidden="false"/>
    </xf>
    <xf numFmtId="164" fontId="45" fillId="33" borderId="9" xfId="0" applyFont="true" applyBorder="true" applyAlignment="true" applyProtection="false">
      <alignment horizontal="general" vertical="center" textRotation="0" wrapText="true" indent="0" shrinkToFit="false"/>
      <protection locked="true" hidden="false"/>
    </xf>
    <xf numFmtId="164" fontId="45" fillId="33" borderId="9" xfId="0" applyFont="true" applyBorder="true" applyAlignment="true" applyProtection="false">
      <alignment horizontal="general" vertical="center" textRotation="0" wrapText="false" indent="0" shrinkToFit="false"/>
      <protection locked="true" hidden="false"/>
    </xf>
    <xf numFmtId="167" fontId="45" fillId="33" borderId="9" xfId="0" applyFont="true" applyBorder="true" applyAlignment="true" applyProtection="false">
      <alignment horizontal="center" vertical="center" textRotation="0" wrapText="false" indent="0" shrinkToFit="false"/>
      <protection locked="true" hidden="false"/>
    </xf>
    <xf numFmtId="164" fontId="78" fillId="0" borderId="0" xfId="0" applyFont="true" applyBorder="false" applyAlignment="true" applyProtection="false">
      <alignment horizontal="general" vertical="center" textRotation="0" wrapText="false" indent="0" shrinkToFit="false"/>
      <protection locked="true" hidden="false"/>
    </xf>
    <xf numFmtId="164" fontId="79" fillId="0" borderId="0" xfId="0" applyFont="true" applyBorder="false" applyAlignment="true" applyProtection="false">
      <alignment horizontal="general" vertical="bottom" textRotation="0" wrapText="false" indent="0" shrinkToFit="false"/>
      <protection locked="true" hidden="false"/>
    </xf>
    <xf numFmtId="164" fontId="73" fillId="32" borderId="0" xfId="0" applyFont="true" applyBorder="false" applyAlignment="true" applyProtection="false">
      <alignment horizontal="general" vertical="bottom" textRotation="0" wrapText="false" indent="0" shrinkToFit="false"/>
      <protection locked="true" hidden="false"/>
    </xf>
    <xf numFmtId="164" fontId="31" fillId="38" borderId="37" xfId="0" applyFont="true" applyBorder="true" applyAlignment="true" applyProtection="false">
      <alignment horizontal="center" vertical="center" textRotation="0" wrapText="false" indent="0" shrinkToFit="false"/>
      <protection locked="true" hidden="false"/>
    </xf>
    <xf numFmtId="174" fontId="80" fillId="4" borderId="37" xfId="0" applyFont="true" applyBorder="true" applyAlignment="true" applyProtection="false">
      <alignment horizontal="left" vertical="center" textRotation="0" wrapText="false" indent="0" shrinkToFit="false"/>
      <protection locked="true" hidden="false"/>
    </xf>
    <xf numFmtId="164" fontId="79" fillId="0" borderId="0" xfId="0" applyFont="true" applyBorder="false" applyAlignment="true" applyProtection="false">
      <alignment horizontal="general" vertical="center" textRotation="0" wrapText="false" indent="0" shrinkToFit="false"/>
      <protection locked="true" hidden="false"/>
    </xf>
    <xf numFmtId="174" fontId="80" fillId="0" borderId="37" xfId="0" applyFont="true" applyBorder="true" applyAlignment="true" applyProtection="false">
      <alignment horizontal="left" vertical="center" textRotation="0" wrapText="false" indent="0" shrinkToFit="false"/>
      <protection locked="true" hidden="false"/>
    </xf>
    <xf numFmtId="174" fontId="81" fillId="0" borderId="37" xfId="0" applyFont="true" applyBorder="true" applyAlignment="true" applyProtection="false">
      <alignment horizontal="left" vertical="center" textRotation="0" wrapText="false" indent="0" shrinkToFit="false"/>
      <protection locked="true" hidden="false"/>
    </xf>
    <xf numFmtId="174" fontId="80" fillId="4" borderId="9" xfId="0" applyFont="true" applyBorder="true" applyAlignment="true" applyProtection="false">
      <alignment horizontal="left" vertical="center" textRotation="0" wrapText="false" indent="0" shrinkToFit="false"/>
      <protection locked="true" hidden="false"/>
    </xf>
    <xf numFmtId="164" fontId="80" fillId="0" borderId="9" xfId="0" applyFont="true" applyBorder="true" applyAlignment="true" applyProtection="false">
      <alignment horizontal="left" vertical="center" textRotation="0" wrapText="false" indent="0" shrinkToFit="false"/>
      <protection locked="true" hidden="false"/>
    </xf>
    <xf numFmtId="164" fontId="82" fillId="44" borderId="0" xfId="0" applyFont="true" applyBorder="false" applyAlignment="true" applyProtection="false">
      <alignment horizontal="general" vertical="bottom" textRotation="0" wrapText="false" indent="0" shrinkToFit="false"/>
      <protection locked="true" hidden="false"/>
    </xf>
    <xf numFmtId="164" fontId="79" fillId="32" borderId="0" xfId="0" applyFont="true" applyBorder="false" applyAlignment="true" applyProtection="false">
      <alignment horizontal="left" vertical="bottom" textRotation="0" wrapText="false" indent="0" shrinkToFit="false"/>
      <protection locked="true" hidden="false"/>
    </xf>
    <xf numFmtId="167" fontId="79" fillId="27" borderId="0" xfId="0" applyFont="true" applyBorder="false" applyAlignment="true" applyProtection="false">
      <alignment horizontal="left" vertical="bottom" textRotation="0" wrapText="false" indent="0" shrinkToFit="false"/>
      <protection locked="true" hidden="false"/>
    </xf>
    <xf numFmtId="167" fontId="79" fillId="32" borderId="0" xfId="0" applyFont="true" applyBorder="false" applyAlignment="true" applyProtection="false">
      <alignment horizontal="left" vertical="bottom" textRotation="0" wrapText="false" indent="0" shrinkToFit="false"/>
      <protection locked="true" hidden="false"/>
    </xf>
    <xf numFmtId="164" fontId="73" fillId="32" borderId="0" xfId="0" applyFont="true" applyBorder="false" applyAlignment="true" applyProtection="false">
      <alignment horizontal="center" vertical="center" textRotation="0" wrapText="false" indent="0" shrinkToFit="false"/>
      <protection locked="true" hidden="false"/>
    </xf>
    <xf numFmtId="164" fontId="25" fillId="32" borderId="0" xfId="0" applyFont="true" applyBorder="false" applyAlignment="true" applyProtection="false">
      <alignment horizontal="center" vertical="center" textRotation="0" wrapText="false" indent="0" shrinkToFit="false"/>
      <protection locked="true" hidden="false"/>
    </xf>
    <xf numFmtId="164" fontId="29" fillId="32" borderId="0" xfId="0" applyFont="true" applyBorder="false" applyAlignment="true" applyProtection="false">
      <alignment horizontal="center" vertical="center" textRotation="0" wrapText="false" indent="0" shrinkToFit="false"/>
      <protection locked="true" hidden="false"/>
    </xf>
    <xf numFmtId="164" fontId="83" fillId="32" borderId="0" xfId="0" applyFont="true" applyBorder="false" applyAlignment="true" applyProtection="false">
      <alignment horizontal="general" vertical="center" textRotation="0" wrapText="false" indent="0" shrinkToFit="false"/>
      <protection locked="true" hidden="false"/>
    </xf>
    <xf numFmtId="164" fontId="32" fillId="38" borderId="39" xfId="0" applyFont="true" applyBorder="true" applyAlignment="true" applyProtection="false">
      <alignment horizontal="center" vertical="center" textRotation="0" wrapText="true" indent="0" shrinkToFit="false"/>
      <protection locked="true" hidden="false"/>
    </xf>
    <xf numFmtId="164" fontId="32" fillId="38" borderId="37" xfId="0" applyFont="true" applyBorder="true" applyAlignment="true" applyProtection="false">
      <alignment horizontal="center" vertical="center" textRotation="0" wrapText="true" indent="0" shrinkToFit="false"/>
      <protection locked="true" hidden="false"/>
    </xf>
    <xf numFmtId="164" fontId="78" fillId="32" borderId="39" xfId="0" applyFont="true" applyBorder="true" applyAlignment="true" applyProtection="false">
      <alignment horizontal="center" vertical="center" textRotation="0" wrapText="true" indent="0" shrinkToFit="false"/>
      <protection locked="true" hidden="false"/>
    </xf>
    <xf numFmtId="164" fontId="84" fillId="32" borderId="37" xfId="0" applyFont="true" applyBorder="true" applyAlignment="true" applyProtection="false">
      <alignment horizontal="general" vertical="top" textRotation="0" wrapText="true" indent="0" shrinkToFit="false"/>
      <protection locked="true" hidden="false"/>
    </xf>
    <xf numFmtId="164" fontId="78" fillId="32" borderId="37" xfId="0" applyFont="true" applyBorder="true" applyAlignment="true" applyProtection="false">
      <alignment horizontal="general" vertical="top" textRotation="0" wrapText="true" indent="0" shrinkToFit="false"/>
      <protection locked="true" hidden="false"/>
    </xf>
    <xf numFmtId="164" fontId="78" fillId="32" borderId="37" xfId="0" applyFont="true" applyBorder="true" applyAlignment="true" applyProtection="false">
      <alignment horizontal="general" vertical="center" textRotation="0" wrapText="false" indent="0" shrinkToFit="false"/>
      <protection locked="true" hidden="false"/>
    </xf>
    <xf numFmtId="164" fontId="78" fillId="32" borderId="28" xfId="0" applyFont="true" applyBorder="true" applyAlignment="true" applyProtection="false">
      <alignment horizontal="center" vertical="center" textRotation="0" wrapText="true" indent="0" shrinkToFit="false"/>
      <protection locked="true" hidden="false"/>
    </xf>
    <xf numFmtId="164" fontId="78" fillId="32" borderId="9" xfId="0" applyFont="true" applyBorder="true" applyAlignment="true" applyProtection="false">
      <alignment horizontal="general" vertical="center" textRotation="0" wrapText="false" indent="0" shrinkToFit="false"/>
      <protection locked="true" hidden="false"/>
    </xf>
    <xf numFmtId="164" fontId="32" fillId="38" borderId="9" xfId="0" applyFont="true" applyBorder="true" applyAlignment="true" applyProtection="false">
      <alignment horizontal="center" vertical="center" textRotation="0" wrapText="false" indent="0" shrinkToFit="false"/>
      <protection locked="true" hidden="false"/>
    </xf>
    <xf numFmtId="164" fontId="58" fillId="27" borderId="9" xfId="0" applyFont="true" applyBorder="true" applyAlignment="true" applyProtection="false">
      <alignment horizontal="center" vertical="center" textRotation="0" wrapText="false" indent="0" shrinkToFit="false"/>
      <protection locked="true" hidden="false"/>
    </xf>
    <xf numFmtId="164" fontId="58" fillId="0" borderId="9" xfId="0" applyFont="true" applyBorder="true" applyAlignment="true" applyProtection="false">
      <alignment horizontal="center" vertical="center" textRotation="0" wrapText="false" indent="0" shrinkToFit="false"/>
      <protection locked="true" hidden="false"/>
    </xf>
    <xf numFmtId="164" fontId="69" fillId="0" borderId="9" xfId="0" applyFont="true" applyBorder="true" applyAlignment="true" applyProtection="false">
      <alignment horizontal="general" vertical="center" textRotation="0" wrapText="false" indent="0" shrinkToFit="false"/>
      <protection locked="true" hidden="false"/>
    </xf>
    <xf numFmtId="164" fontId="69" fillId="0" borderId="9" xfId="0" applyFont="true" applyBorder="true" applyAlignment="true" applyProtection="false">
      <alignment horizontal="general" vertical="center" textRotation="0" wrapText="true" indent="0" shrinkToFit="false"/>
      <protection locked="true" hidden="false"/>
    </xf>
  </cellXfs>
  <cellStyles count="53">
    <cellStyle name="Normal" xfId="0" builtinId="0"/>
    <cellStyle name="Comma" xfId="15" builtinId="3"/>
    <cellStyle name="Comma [0]" xfId="16" builtinId="6"/>
    <cellStyle name="Currency" xfId="17" builtinId="4"/>
    <cellStyle name="Currency [0]" xfId="18" builtinId="7"/>
    <cellStyle name="Percent" xfId="19" builtinId="5"/>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5" xfId="44"/>
    <cellStyle name="Calculation" xfId="45"/>
    <cellStyle name="Check Cell" xfId="46"/>
    <cellStyle name="Comma 2" xfId="47"/>
    <cellStyle name="Comma 3" xfId="48"/>
    <cellStyle name="Explanatory Text" xfId="49"/>
    <cellStyle name="Followed Hyperlink" xfId="50"/>
    <cellStyle name="Good 4" xfId="51"/>
    <cellStyle name="Heading 1 2" xfId="52"/>
    <cellStyle name="Heading 2 3" xfId="53"/>
    <cellStyle name="Heading 3" xfId="54"/>
    <cellStyle name="Heading 4" xfId="55"/>
    <cellStyle name="Input" xfId="56"/>
    <cellStyle name="Link" xfId="57"/>
    <cellStyle name="Linked Cell" xfId="58"/>
    <cellStyle name="Neutral 6" xfId="59"/>
    <cellStyle name="Normal 2" xfId="60"/>
    <cellStyle name="Normal 3" xfId="61"/>
    <cellStyle name="Note 1" xfId="62"/>
    <cellStyle name="Output" xfId="63"/>
    <cellStyle name="Title" xfId="64"/>
    <cellStyle name="Total" xfId="65"/>
    <cellStyle name="Warning Text" xfId="66"/>
  </cellStyles>
  <dxfs count="8">
    <dxf>
      <font>
        <color rgb="FF009337"/>
      </font>
    </dxf>
    <dxf>
      <font>
        <color rgb="FFC00000"/>
      </font>
    </dxf>
    <dxf>
      <font>
        <b val="1"/>
        <color rgb="FFC00000"/>
      </font>
    </dxf>
    <dxf>
      <font>
        <b val="1"/>
        <color rgb="FFFFFFFF"/>
      </font>
      <fill>
        <patternFill>
          <bgColor rgb="FFC00000"/>
        </patternFill>
      </fill>
    </dxf>
    <dxf>
      <fill>
        <patternFill patternType="solid">
          <fgColor rgb="FF376B54"/>
          <bgColor rgb="FF000000"/>
        </patternFill>
      </fill>
    </dxf>
    <dxf>
      <fill>
        <patternFill patternType="solid">
          <fgColor rgb="FFF2F2F2"/>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DEEDCB"/>
      <rgbColor rgb="FF0000FF"/>
      <rgbColor rgb="FFFFD966"/>
      <rgbColor rgb="FFDBDBDB"/>
      <rgbColor rgb="FFA9D18E"/>
      <rgbColor rgb="FF8E001E"/>
      <rgbColor rgb="FF009337"/>
      <rgbColor rgb="FFF2F2F2"/>
      <rgbColor rgb="FFB38100"/>
      <rgbColor rgb="FFE7E6E6"/>
      <rgbColor rgb="FF276E8B"/>
      <rgbColor rgb="FFC9C9C9"/>
      <rgbColor rgb="FF808080"/>
      <rgbColor rgb="FF8FAADC"/>
      <rgbColor rgb="FF548235"/>
      <rgbColor rgb="FFFFFFCC"/>
      <rgbColor rgb="FFDDEBF7"/>
      <rgbColor rgb="FFE2F0D9"/>
      <rgbColor rgb="FFED7D31"/>
      <rgbColor rgb="FF2E75B6"/>
      <rgbColor rgb="FFBDD7EE"/>
      <rgbColor rgb="FFFFF2CC"/>
      <rgbColor rgb="FFDAE3F3"/>
      <rgbColor rgb="FFFFE699"/>
      <rgbColor rgb="FFC5E0B4"/>
      <rgbColor rgb="FFFBE5D6"/>
      <rgbColor rgb="FFC00000"/>
      <rgbColor rgb="FF376B54"/>
      <rgbColor rgb="FFEDEDED"/>
      <rgbColor rgb="FFB4C7E7"/>
      <rgbColor rgb="FFDEEBF7"/>
      <rgbColor rgb="FFC6EFCE"/>
      <rgbColor rgb="FFFFEB9C"/>
      <rgbColor rgb="FF9DC2E6"/>
      <rgbColor rgb="FFF4B183"/>
      <rgbColor rgb="FFA7A7A7"/>
      <rgbColor rgb="FFFFCC99"/>
      <rgbColor rgb="FF4472C4"/>
      <rgbColor rgb="FF5B9BD5"/>
      <rgbColor rgb="FF70AD47"/>
      <rgbColor rgb="FFFFC000"/>
      <rgbColor rgb="FFF8CBAD"/>
      <rgbColor rgb="FFFA7D00"/>
      <rgbColor rgb="FF7F7F7F"/>
      <rgbColor rgb="FFA5A5A5"/>
      <rgbColor rgb="FF404040"/>
      <rgbColor rgb="FF3494BA"/>
      <rgbColor rgb="FF076210"/>
      <rgbColor rgb="FF262626"/>
      <rgbColor rgb="FFFFC7CE"/>
      <rgbColor rgb="FFD0CECE"/>
      <rgbColor rgb="FF464F6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ables/table1.xml><?xml version="1.0" encoding="utf-8"?>
<table xmlns="http://schemas.openxmlformats.org/spreadsheetml/2006/main" id="1" name="Table25" displayName="Table25" ref="A21:A25" headerRowCount="1" totalsRowCount="0" totalsRowShown="0">
  <autoFilter ref="A21:A25"/>
  <tableColumns count="1">
    <tableColumn id="1" name="Choose percentage"/>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337"/>
    <pageSetUpPr fitToPage="false"/>
  </sheetPr>
  <dimension ref="A2:I2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171875" defaultRowHeight="16.5" zeroHeight="false" outlineLevelRow="0" outlineLevelCol="0"/>
  <sheetData>
    <row r="2" customFormat="false" ht="16.5" hidden="false" customHeight="true" outlineLevel="0" collapsed="false">
      <c r="A2" s="1"/>
      <c r="B2" s="1"/>
      <c r="C2" s="1"/>
      <c r="D2" s="1"/>
      <c r="E2" s="1"/>
      <c r="F2" s="1"/>
      <c r="G2" s="1"/>
      <c r="H2" s="1"/>
      <c r="I2" s="1"/>
    </row>
    <row r="3" customFormat="false" ht="16.5" hidden="false" customHeight="true" outlineLevel="0" collapsed="false">
      <c r="A3" s="1"/>
      <c r="B3" s="1"/>
      <c r="C3" s="1"/>
      <c r="D3" s="1"/>
      <c r="E3" s="1"/>
      <c r="F3" s="1"/>
      <c r="G3" s="1"/>
      <c r="H3" s="1"/>
      <c r="I3" s="1"/>
    </row>
    <row r="4" customFormat="false" ht="16.5" hidden="false" customHeight="true" outlineLevel="0" collapsed="false">
      <c r="A4" s="1"/>
      <c r="B4" s="1"/>
      <c r="C4" s="1"/>
      <c r="D4" s="1"/>
      <c r="E4" s="1"/>
      <c r="F4" s="1"/>
      <c r="G4" s="1"/>
      <c r="H4" s="1"/>
      <c r="I4" s="1"/>
    </row>
    <row r="5" customFormat="false" ht="16.5" hidden="false" customHeight="true" outlineLevel="0" collapsed="false">
      <c r="A5" s="1"/>
      <c r="B5" s="1"/>
      <c r="C5" s="1"/>
      <c r="D5" s="1"/>
      <c r="E5" s="1"/>
      <c r="F5" s="1"/>
      <c r="G5" s="1"/>
      <c r="H5" s="1"/>
      <c r="I5" s="1"/>
    </row>
    <row r="6" customFormat="false" ht="16.5" hidden="false" customHeight="true" outlineLevel="0" collapsed="false">
      <c r="A6" s="1"/>
      <c r="B6" s="1"/>
      <c r="C6" s="1"/>
      <c r="D6" s="1"/>
      <c r="E6" s="1"/>
      <c r="F6" s="1"/>
      <c r="G6" s="1"/>
      <c r="H6" s="1"/>
      <c r="I6" s="1"/>
    </row>
    <row r="7" customFormat="false" ht="16.5" hidden="false" customHeight="true" outlineLevel="0" collapsed="false">
      <c r="A7" s="1"/>
      <c r="B7" s="1"/>
      <c r="C7" s="1"/>
      <c r="D7" s="1"/>
      <c r="E7" s="1"/>
      <c r="F7" s="1"/>
      <c r="G7" s="1"/>
      <c r="H7" s="1"/>
      <c r="I7" s="1"/>
    </row>
    <row r="8" customFormat="false" ht="16.5" hidden="false" customHeight="true" outlineLevel="0" collapsed="false">
      <c r="A8" s="1"/>
      <c r="B8" s="1"/>
      <c r="C8" s="1"/>
      <c r="D8" s="1"/>
      <c r="E8" s="1"/>
      <c r="F8" s="1"/>
      <c r="G8" s="1"/>
      <c r="H8" s="1"/>
      <c r="I8" s="1"/>
    </row>
    <row r="9" customFormat="false" ht="16.5" hidden="false" customHeight="true" outlineLevel="0" collapsed="false">
      <c r="A9" s="1"/>
      <c r="B9" s="1"/>
      <c r="C9" s="1"/>
      <c r="D9" s="1"/>
      <c r="E9" s="1"/>
      <c r="F9" s="1"/>
      <c r="G9" s="1"/>
      <c r="H9" s="1"/>
      <c r="I9" s="1"/>
    </row>
    <row r="10" customFormat="false" ht="16.5" hidden="false" customHeight="true" outlineLevel="0" collapsed="false">
      <c r="A10" s="1"/>
      <c r="B10" s="1"/>
      <c r="C10" s="1"/>
      <c r="D10" s="1"/>
      <c r="E10" s="1"/>
      <c r="F10" s="1"/>
      <c r="G10" s="1"/>
      <c r="H10" s="1"/>
      <c r="I10" s="1"/>
    </row>
    <row r="11" customFormat="false" ht="16.5" hidden="false" customHeight="true" outlineLevel="0" collapsed="false">
      <c r="A11" s="1"/>
      <c r="B11" s="1"/>
      <c r="C11" s="1"/>
      <c r="D11" s="1"/>
      <c r="E11" s="1"/>
      <c r="F11" s="1"/>
      <c r="G11" s="1"/>
      <c r="H11" s="1"/>
      <c r="I11" s="1"/>
    </row>
    <row r="12" customFormat="false" ht="16.5" hidden="false" customHeight="true" outlineLevel="0" collapsed="false">
      <c r="A12" s="1"/>
      <c r="B12" s="1"/>
      <c r="C12" s="1"/>
      <c r="D12" s="1"/>
      <c r="E12" s="1"/>
      <c r="F12" s="1"/>
      <c r="G12" s="1"/>
      <c r="H12" s="1"/>
      <c r="I12" s="1"/>
    </row>
    <row r="13" customFormat="false" ht="16.5" hidden="false" customHeight="true" outlineLevel="0" collapsed="false">
      <c r="A13" s="1"/>
      <c r="B13" s="1"/>
      <c r="C13" s="1"/>
      <c r="D13" s="1"/>
      <c r="E13" s="1"/>
      <c r="F13" s="1"/>
      <c r="G13" s="1"/>
      <c r="H13" s="1"/>
      <c r="I13" s="1"/>
    </row>
    <row r="14" customFormat="false" ht="16.5" hidden="false" customHeight="true" outlineLevel="0" collapsed="false">
      <c r="A14" s="1"/>
      <c r="B14" s="1"/>
      <c r="C14" s="1"/>
      <c r="D14" s="1"/>
      <c r="E14" s="1"/>
      <c r="F14" s="1"/>
      <c r="G14" s="1"/>
      <c r="H14" s="1"/>
      <c r="I14" s="1"/>
    </row>
    <row r="15" customFormat="false" ht="16.5" hidden="false" customHeight="true" outlineLevel="0" collapsed="false">
      <c r="A15" s="1"/>
      <c r="B15" s="1"/>
      <c r="C15" s="1"/>
      <c r="D15" s="1"/>
      <c r="E15" s="1"/>
      <c r="F15" s="1"/>
      <c r="G15" s="1"/>
      <c r="H15" s="1"/>
      <c r="I15" s="1"/>
    </row>
    <row r="16" customFormat="false" ht="16.5" hidden="false" customHeight="true" outlineLevel="0" collapsed="false">
      <c r="A16" s="1"/>
      <c r="B16" s="1"/>
      <c r="C16" s="1"/>
      <c r="D16" s="1"/>
      <c r="E16" s="1"/>
      <c r="F16" s="1"/>
      <c r="G16" s="1"/>
      <c r="H16" s="1"/>
      <c r="I16" s="1"/>
    </row>
    <row r="17" customFormat="false" ht="16.5" hidden="false" customHeight="true" outlineLevel="0" collapsed="false">
      <c r="A17" s="1"/>
      <c r="B17" s="1"/>
      <c r="C17" s="1"/>
      <c r="D17" s="1"/>
      <c r="E17" s="1"/>
      <c r="F17" s="1"/>
      <c r="G17" s="1"/>
      <c r="H17" s="1"/>
      <c r="I17" s="1"/>
    </row>
    <row r="18" customFormat="false" ht="16.5" hidden="false" customHeight="true" outlineLevel="0" collapsed="false">
      <c r="A18" s="1"/>
      <c r="B18" s="1"/>
      <c r="C18" s="1"/>
      <c r="D18" s="1"/>
      <c r="E18" s="1"/>
      <c r="F18" s="1"/>
      <c r="G18" s="1"/>
      <c r="H18" s="1"/>
      <c r="I18" s="1"/>
    </row>
    <row r="19" customFormat="false" ht="16.5" hidden="false" customHeight="true" outlineLevel="0" collapsed="false">
      <c r="A19" s="1"/>
      <c r="B19" s="1"/>
      <c r="C19" s="1"/>
      <c r="D19" s="1"/>
      <c r="E19" s="1"/>
      <c r="F19" s="1"/>
      <c r="G19" s="1"/>
      <c r="H19" s="1"/>
      <c r="I19" s="1"/>
    </row>
    <row r="20" customFormat="false" ht="16.5" hidden="false" customHeight="true" outlineLevel="0" collapsed="false">
      <c r="A20" s="1"/>
      <c r="B20" s="1"/>
      <c r="C20" s="1"/>
      <c r="D20" s="1"/>
      <c r="E20" s="1"/>
      <c r="F20" s="1"/>
      <c r="G20" s="1"/>
      <c r="H20" s="1"/>
      <c r="I20" s="1"/>
    </row>
    <row r="21" customFormat="false" ht="16.5" hidden="false" customHeight="true" outlineLevel="0" collapsed="false">
      <c r="A21" s="1"/>
      <c r="B21" s="1"/>
      <c r="C21" s="1"/>
      <c r="D21" s="1"/>
      <c r="E21" s="1"/>
      <c r="F21" s="1"/>
      <c r="G21" s="1"/>
      <c r="H21" s="1"/>
      <c r="I21" s="1"/>
    </row>
    <row r="22" customFormat="false" ht="16.5" hidden="false" customHeight="true" outlineLevel="0" collapsed="false">
      <c r="A22" s="1"/>
      <c r="B22" s="1"/>
      <c r="C22" s="1"/>
      <c r="D22" s="1"/>
      <c r="E22" s="1"/>
      <c r="F22" s="1"/>
      <c r="G22" s="1"/>
      <c r="H22" s="1"/>
      <c r="I22" s="1"/>
    </row>
    <row r="23" customFormat="false" ht="16.5" hidden="false" customHeight="true" outlineLevel="0" collapsed="false">
      <c r="A23" s="1"/>
      <c r="B23" s="1"/>
      <c r="C23" s="1"/>
      <c r="D23" s="1"/>
      <c r="E23" s="1"/>
      <c r="F23" s="1"/>
      <c r="G23" s="1"/>
      <c r="H23" s="1"/>
      <c r="I23" s="1"/>
    </row>
    <row r="24" customFormat="false" ht="16.5" hidden="false" customHeight="true" outlineLevel="0" collapsed="false">
      <c r="A24" s="1"/>
      <c r="B24" s="1"/>
      <c r="C24" s="1"/>
      <c r="D24" s="1"/>
      <c r="E24" s="1"/>
      <c r="F24" s="1"/>
      <c r="G24" s="1"/>
      <c r="H24" s="1"/>
      <c r="I24" s="1"/>
    </row>
    <row r="25" customFormat="false" ht="16.5" hidden="false" customHeight="true" outlineLevel="0" collapsed="false">
      <c r="A25" s="1"/>
      <c r="B25" s="1"/>
      <c r="C25" s="1"/>
      <c r="D25" s="1"/>
      <c r="E25" s="1"/>
      <c r="F25" s="1"/>
      <c r="G25" s="1"/>
      <c r="H25" s="1"/>
      <c r="I25" s="1"/>
    </row>
    <row r="26" customFormat="false" ht="16.5" hidden="false" customHeight="true" outlineLevel="0" collapsed="false">
      <c r="A26" s="1"/>
      <c r="B26" s="1"/>
      <c r="C26" s="1"/>
      <c r="D26" s="1"/>
      <c r="E26" s="1"/>
      <c r="F26" s="1"/>
      <c r="G26" s="1"/>
      <c r="H26" s="1"/>
      <c r="I26" s="1"/>
    </row>
    <row r="27" customFormat="false" ht="16.5" hidden="false" customHeight="true" outlineLevel="0" collapsed="false">
      <c r="A27" s="1"/>
      <c r="B27" s="1"/>
      <c r="C27" s="1"/>
      <c r="D27" s="1"/>
      <c r="E27" s="1"/>
      <c r="F27" s="1"/>
      <c r="G27" s="1"/>
      <c r="H27" s="1"/>
      <c r="I27" s="1"/>
    </row>
    <row r="28" customFormat="false" ht="16.5" hidden="false" customHeight="true" outlineLevel="0" collapsed="false">
      <c r="A28" s="1"/>
      <c r="B28" s="1"/>
      <c r="C28" s="1"/>
      <c r="D28" s="1"/>
      <c r="E28" s="1"/>
      <c r="F28" s="1"/>
      <c r="G28" s="1"/>
      <c r="H28" s="1"/>
      <c r="I28" s="1"/>
    </row>
    <row r="29" customFormat="false" ht="16.5" hidden="false" customHeight="true" outlineLevel="0" collapsed="false">
      <c r="A29" s="1"/>
      <c r="B29" s="1"/>
      <c r="C29" s="1"/>
      <c r="D29" s="1"/>
      <c r="E29" s="1"/>
      <c r="F29" s="1"/>
      <c r="G29" s="1"/>
      <c r="H29" s="1"/>
      <c r="I29" s="1"/>
    </row>
    <row r="30" customFormat="false" ht="16.5" hidden="false" customHeight="true" outlineLevel="0" collapsed="false">
      <c r="A30" s="1"/>
      <c r="B30" s="1"/>
      <c r="C30" s="1"/>
      <c r="D30" s="1"/>
      <c r="E30" s="1"/>
      <c r="F30" s="1"/>
      <c r="G30" s="1"/>
      <c r="H30" s="1"/>
      <c r="I30" s="1"/>
    </row>
    <row r="31" customFormat="false" ht="16.5" hidden="false" customHeight="true" outlineLevel="0" collapsed="false">
      <c r="A31" s="1"/>
      <c r="B31" s="1"/>
      <c r="C31" s="1"/>
      <c r="D31" s="1"/>
      <c r="E31" s="1"/>
      <c r="F31" s="1"/>
      <c r="G31" s="1"/>
      <c r="H31" s="1"/>
      <c r="I31" s="1"/>
    </row>
    <row r="32" customFormat="false" ht="16.5" hidden="false" customHeight="true" outlineLevel="0" collapsed="false">
      <c r="A32" s="1"/>
      <c r="B32" s="1"/>
      <c r="C32" s="1"/>
      <c r="D32" s="1"/>
      <c r="E32" s="1"/>
      <c r="F32" s="1"/>
      <c r="G32" s="1"/>
      <c r="H32" s="1"/>
      <c r="I32" s="1"/>
    </row>
    <row r="33" customFormat="false" ht="16.5" hidden="false" customHeight="true" outlineLevel="0" collapsed="false">
      <c r="A33" s="1"/>
      <c r="B33" s="1"/>
      <c r="C33" s="1"/>
      <c r="D33" s="1"/>
      <c r="E33" s="1"/>
      <c r="F33" s="1"/>
      <c r="G33" s="1"/>
      <c r="H33" s="1"/>
      <c r="I33" s="1"/>
    </row>
    <row r="34" customFormat="false" ht="16.5" hidden="false" customHeight="true" outlineLevel="0" collapsed="false">
      <c r="A34" s="1"/>
      <c r="B34" s="1"/>
      <c r="C34" s="1"/>
      <c r="D34" s="1"/>
      <c r="E34" s="1"/>
      <c r="F34" s="1"/>
      <c r="G34" s="1"/>
      <c r="H34" s="1"/>
      <c r="I34" s="1"/>
    </row>
    <row r="35" customFormat="false" ht="16.5" hidden="false" customHeight="true" outlineLevel="0" collapsed="false">
      <c r="A35" s="1"/>
      <c r="B35" s="1"/>
      <c r="C35" s="1"/>
      <c r="D35" s="1"/>
      <c r="E35" s="1"/>
      <c r="F35" s="1"/>
      <c r="G35" s="1"/>
      <c r="H35" s="1"/>
      <c r="I35" s="1"/>
    </row>
    <row r="36" customFormat="false" ht="16.5" hidden="false" customHeight="true" outlineLevel="0" collapsed="false">
      <c r="A36" s="1"/>
      <c r="B36" s="1"/>
      <c r="C36" s="1"/>
      <c r="D36" s="1"/>
      <c r="E36" s="1"/>
      <c r="F36" s="1"/>
      <c r="G36" s="1"/>
      <c r="H36" s="1"/>
      <c r="I36" s="1"/>
    </row>
    <row r="37" customFormat="false" ht="16.5" hidden="false" customHeight="true" outlineLevel="0" collapsed="false">
      <c r="A37" s="1"/>
      <c r="B37" s="1"/>
      <c r="C37" s="1"/>
      <c r="D37" s="1"/>
      <c r="E37" s="1"/>
      <c r="F37" s="1"/>
      <c r="G37" s="1"/>
      <c r="H37" s="1"/>
      <c r="I37" s="1"/>
    </row>
    <row r="38" customFormat="false" ht="16.5" hidden="false" customHeight="true" outlineLevel="0" collapsed="false">
      <c r="A38" s="1"/>
      <c r="B38" s="1"/>
      <c r="C38" s="1"/>
      <c r="D38" s="1"/>
      <c r="E38" s="1"/>
      <c r="F38" s="1"/>
      <c r="G38" s="1"/>
      <c r="H38" s="1"/>
      <c r="I38" s="1"/>
    </row>
    <row r="39" customFormat="false" ht="16.5" hidden="false" customHeight="true" outlineLevel="0" collapsed="false">
      <c r="A39" s="1"/>
      <c r="B39" s="1"/>
      <c r="C39" s="1"/>
      <c r="D39" s="1"/>
      <c r="E39" s="1"/>
      <c r="F39" s="1"/>
      <c r="G39" s="1"/>
      <c r="H39" s="1"/>
      <c r="I39" s="1"/>
    </row>
    <row r="40" customFormat="false" ht="16.5" hidden="false" customHeight="true" outlineLevel="0" collapsed="false">
      <c r="A40" s="1"/>
      <c r="B40" s="1"/>
      <c r="C40" s="1"/>
      <c r="D40" s="1"/>
      <c r="E40" s="1"/>
      <c r="F40" s="1"/>
      <c r="G40" s="1"/>
      <c r="H40" s="1"/>
      <c r="I40" s="1"/>
    </row>
    <row r="41" customFormat="false" ht="16.5" hidden="false" customHeight="true" outlineLevel="0" collapsed="false">
      <c r="A41" s="1"/>
      <c r="B41" s="1"/>
      <c r="C41" s="1"/>
      <c r="D41" s="1"/>
      <c r="E41" s="1"/>
      <c r="F41" s="1"/>
      <c r="G41" s="1"/>
      <c r="H41" s="1"/>
      <c r="I41" s="1"/>
    </row>
    <row r="42" customFormat="false" ht="16.5" hidden="false" customHeight="true" outlineLevel="0" collapsed="false">
      <c r="A42" s="1"/>
      <c r="B42" s="1"/>
      <c r="C42" s="1"/>
      <c r="D42" s="1"/>
      <c r="E42" s="1"/>
      <c r="F42" s="1"/>
      <c r="G42" s="1"/>
      <c r="H42" s="1"/>
      <c r="I42" s="1"/>
    </row>
    <row r="43" customFormat="false" ht="16.5" hidden="false" customHeight="true" outlineLevel="0" collapsed="false">
      <c r="A43" s="1"/>
      <c r="B43" s="1"/>
      <c r="C43" s="1"/>
      <c r="D43" s="1"/>
      <c r="E43" s="1"/>
      <c r="F43" s="1"/>
      <c r="G43" s="1"/>
      <c r="H43" s="1"/>
      <c r="I43" s="1"/>
    </row>
    <row r="44" customFormat="false" ht="16.5" hidden="false" customHeight="true" outlineLevel="0" collapsed="false">
      <c r="A44" s="1"/>
      <c r="B44" s="1"/>
      <c r="C44" s="1"/>
      <c r="D44" s="1"/>
      <c r="E44" s="1"/>
      <c r="F44" s="1"/>
      <c r="G44" s="1"/>
      <c r="H44" s="1"/>
      <c r="I44" s="1"/>
    </row>
    <row r="45" customFormat="false" ht="16.5" hidden="false" customHeight="true" outlineLevel="0" collapsed="false">
      <c r="A45" s="1"/>
      <c r="B45" s="1"/>
      <c r="C45" s="1"/>
      <c r="D45" s="1"/>
      <c r="E45" s="1"/>
      <c r="F45" s="1"/>
      <c r="G45" s="1"/>
      <c r="H45" s="1"/>
      <c r="I45" s="1"/>
    </row>
    <row r="46" customFormat="false" ht="16.5" hidden="false" customHeight="true" outlineLevel="0" collapsed="false">
      <c r="A46" s="1"/>
      <c r="B46" s="1"/>
      <c r="C46" s="1"/>
      <c r="D46" s="1"/>
      <c r="E46" s="1"/>
      <c r="F46" s="1"/>
      <c r="G46" s="1"/>
      <c r="H46" s="1"/>
      <c r="I46" s="1"/>
    </row>
    <row r="47" customFormat="false" ht="16.5" hidden="false" customHeight="true" outlineLevel="0" collapsed="false">
      <c r="A47" s="1"/>
      <c r="B47" s="1"/>
      <c r="C47" s="1"/>
      <c r="D47" s="1"/>
      <c r="E47" s="1"/>
      <c r="F47" s="1"/>
      <c r="G47" s="1"/>
      <c r="H47" s="1"/>
      <c r="I47" s="1"/>
    </row>
    <row r="48" customFormat="false" ht="16.5" hidden="false" customHeight="true" outlineLevel="0" collapsed="false">
      <c r="A48" s="1"/>
      <c r="B48" s="1"/>
      <c r="C48" s="1"/>
      <c r="D48" s="1"/>
      <c r="E48" s="1"/>
      <c r="F48" s="1"/>
      <c r="G48" s="1"/>
      <c r="H48" s="1"/>
      <c r="I48" s="1"/>
    </row>
    <row r="49" customFormat="false" ht="16.5" hidden="false" customHeight="true" outlineLevel="0" collapsed="false">
      <c r="A49" s="1"/>
      <c r="B49" s="1"/>
      <c r="C49" s="1"/>
      <c r="D49" s="1"/>
      <c r="E49" s="1"/>
      <c r="F49" s="1"/>
      <c r="G49" s="1"/>
      <c r="H49" s="1"/>
      <c r="I49" s="1"/>
    </row>
    <row r="50" customFormat="false" ht="16.5" hidden="false" customHeight="true" outlineLevel="0" collapsed="false">
      <c r="A50" s="1"/>
      <c r="B50" s="1"/>
      <c r="C50" s="1"/>
      <c r="D50" s="1"/>
      <c r="E50" s="1"/>
      <c r="F50" s="1"/>
      <c r="G50" s="1"/>
      <c r="H50" s="1"/>
      <c r="I50" s="1"/>
    </row>
    <row r="51" customFormat="false" ht="16.5" hidden="false" customHeight="true" outlineLevel="0" collapsed="false">
      <c r="A51" s="1"/>
      <c r="B51" s="1"/>
      <c r="C51" s="1"/>
      <c r="D51" s="1"/>
      <c r="E51" s="1"/>
      <c r="F51" s="1"/>
      <c r="G51" s="1"/>
      <c r="H51" s="1"/>
      <c r="I51" s="1"/>
    </row>
    <row r="52" customFormat="false" ht="16.5" hidden="false" customHeight="true" outlineLevel="0" collapsed="false">
      <c r="A52" s="1"/>
      <c r="B52" s="1"/>
      <c r="C52" s="1"/>
      <c r="D52" s="1"/>
      <c r="E52" s="1"/>
      <c r="F52" s="1"/>
      <c r="G52" s="1"/>
      <c r="H52" s="1"/>
      <c r="I52" s="1"/>
    </row>
    <row r="53" customFormat="false" ht="16.5" hidden="false" customHeight="true" outlineLevel="0" collapsed="false">
      <c r="A53" s="1"/>
      <c r="B53" s="1"/>
      <c r="C53" s="1"/>
      <c r="D53" s="1"/>
      <c r="E53" s="1"/>
      <c r="F53" s="1"/>
      <c r="G53" s="1"/>
      <c r="H53" s="1"/>
      <c r="I53" s="1"/>
    </row>
    <row r="54" customFormat="false" ht="16.5" hidden="false" customHeight="true" outlineLevel="0" collapsed="false">
      <c r="A54" s="1"/>
      <c r="B54" s="1"/>
      <c r="C54" s="1"/>
      <c r="D54" s="1"/>
      <c r="E54" s="1"/>
      <c r="F54" s="1"/>
      <c r="G54" s="1"/>
      <c r="H54" s="1"/>
      <c r="I54" s="1"/>
    </row>
    <row r="55" customFormat="false" ht="16.5" hidden="false" customHeight="true" outlineLevel="0" collapsed="false">
      <c r="A55" s="1"/>
      <c r="B55" s="1"/>
      <c r="C55" s="1"/>
      <c r="D55" s="1"/>
      <c r="E55" s="1"/>
      <c r="F55" s="1"/>
      <c r="G55" s="1"/>
      <c r="H55" s="1"/>
      <c r="I55" s="1"/>
    </row>
    <row r="56" customFormat="false" ht="16.5" hidden="false" customHeight="true" outlineLevel="0" collapsed="false">
      <c r="A56" s="1"/>
      <c r="B56" s="1"/>
      <c r="C56" s="1"/>
      <c r="D56" s="1"/>
      <c r="E56" s="1"/>
      <c r="F56" s="1"/>
      <c r="G56" s="1"/>
      <c r="H56" s="1"/>
      <c r="I56" s="1"/>
    </row>
    <row r="57" customFormat="false" ht="16.5" hidden="false" customHeight="true" outlineLevel="0" collapsed="false">
      <c r="A57" s="1"/>
      <c r="B57" s="1"/>
      <c r="C57" s="1"/>
      <c r="D57" s="1"/>
      <c r="E57" s="1"/>
      <c r="F57" s="1"/>
      <c r="G57" s="1"/>
      <c r="H57" s="1"/>
      <c r="I57" s="1"/>
    </row>
    <row r="58" customFormat="false" ht="16.5" hidden="false" customHeight="true" outlineLevel="0" collapsed="false">
      <c r="A58" s="1"/>
      <c r="B58" s="1"/>
      <c r="C58" s="1"/>
      <c r="D58" s="1"/>
      <c r="E58" s="1"/>
      <c r="F58" s="1"/>
      <c r="G58" s="1"/>
      <c r="H58" s="1"/>
      <c r="I58" s="1"/>
    </row>
    <row r="59" customFormat="false" ht="16.5" hidden="false" customHeight="true" outlineLevel="0" collapsed="false">
      <c r="A59" s="1"/>
      <c r="B59" s="1"/>
      <c r="C59" s="1"/>
      <c r="D59" s="1"/>
      <c r="E59" s="1"/>
      <c r="F59" s="1"/>
      <c r="G59" s="1"/>
      <c r="H59" s="1"/>
      <c r="I59" s="1"/>
    </row>
    <row r="60" customFormat="false" ht="16.5" hidden="false" customHeight="true" outlineLevel="0" collapsed="false">
      <c r="A60" s="1"/>
      <c r="B60" s="1"/>
      <c r="C60" s="1"/>
      <c r="D60" s="1"/>
      <c r="E60" s="1"/>
      <c r="F60" s="1"/>
      <c r="G60" s="1"/>
      <c r="H60" s="1"/>
      <c r="I60" s="1"/>
    </row>
    <row r="61" customFormat="false" ht="16.5" hidden="false" customHeight="true" outlineLevel="0" collapsed="false">
      <c r="A61" s="1"/>
      <c r="B61" s="1"/>
      <c r="C61" s="1"/>
      <c r="D61" s="1"/>
      <c r="E61" s="1"/>
      <c r="F61" s="1"/>
      <c r="G61" s="1"/>
      <c r="H61" s="1"/>
      <c r="I61" s="1"/>
    </row>
    <row r="62" customFormat="false" ht="16.5" hidden="false" customHeight="true" outlineLevel="0" collapsed="false">
      <c r="A62" s="1"/>
      <c r="B62" s="1"/>
      <c r="C62" s="1"/>
      <c r="D62" s="1"/>
      <c r="E62" s="1"/>
      <c r="F62" s="1"/>
      <c r="G62" s="1"/>
      <c r="H62" s="1"/>
      <c r="I62" s="1"/>
    </row>
    <row r="63" customFormat="false" ht="16.5" hidden="false" customHeight="true" outlineLevel="0" collapsed="false">
      <c r="A63" s="1"/>
      <c r="B63" s="1"/>
      <c r="C63" s="1"/>
      <c r="D63" s="1"/>
      <c r="E63" s="1"/>
      <c r="F63" s="1"/>
      <c r="G63" s="1"/>
      <c r="H63" s="1"/>
      <c r="I63" s="1"/>
    </row>
    <row r="64" customFormat="false" ht="16.5" hidden="false" customHeight="true" outlineLevel="0" collapsed="false">
      <c r="A64" s="1"/>
      <c r="B64" s="1"/>
      <c r="C64" s="1"/>
      <c r="D64" s="1"/>
      <c r="E64" s="1"/>
      <c r="F64" s="1"/>
      <c r="G64" s="1"/>
      <c r="H64" s="1"/>
      <c r="I64" s="1"/>
    </row>
    <row r="65" customFormat="false" ht="16.5" hidden="false" customHeight="true" outlineLevel="0" collapsed="false">
      <c r="A65" s="1"/>
      <c r="B65" s="1"/>
      <c r="C65" s="1"/>
      <c r="D65" s="1"/>
      <c r="E65" s="1"/>
      <c r="F65" s="1"/>
      <c r="G65" s="1"/>
      <c r="H65" s="1"/>
      <c r="I65" s="1"/>
    </row>
    <row r="66" customFormat="false" ht="16.5" hidden="false" customHeight="true" outlineLevel="0" collapsed="false">
      <c r="A66" s="1"/>
      <c r="B66" s="1"/>
      <c r="C66" s="1"/>
      <c r="D66" s="1"/>
      <c r="E66" s="1"/>
      <c r="F66" s="1"/>
      <c r="G66" s="1"/>
      <c r="H66" s="1"/>
      <c r="I66" s="1"/>
    </row>
    <row r="67" customFormat="false" ht="16.5" hidden="false" customHeight="true" outlineLevel="0" collapsed="false">
      <c r="A67" s="1"/>
      <c r="B67" s="1"/>
      <c r="C67" s="1"/>
      <c r="D67" s="1"/>
      <c r="E67" s="1"/>
      <c r="F67" s="1"/>
      <c r="G67" s="1"/>
      <c r="H67" s="1"/>
      <c r="I67" s="1"/>
    </row>
    <row r="68" customFormat="false" ht="16.5" hidden="false" customHeight="true" outlineLevel="0" collapsed="false">
      <c r="A68" s="1"/>
      <c r="B68" s="1"/>
      <c r="C68" s="1"/>
      <c r="D68" s="1"/>
      <c r="E68" s="1"/>
      <c r="F68" s="1"/>
      <c r="G68" s="1"/>
      <c r="H68" s="1"/>
      <c r="I68" s="1"/>
    </row>
    <row r="69" customFormat="false" ht="16.5" hidden="false" customHeight="true" outlineLevel="0" collapsed="false">
      <c r="A69" s="1"/>
      <c r="B69" s="1"/>
      <c r="C69" s="1"/>
      <c r="D69" s="1"/>
      <c r="E69" s="1"/>
      <c r="F69" s="1"/>
      <c r="G69" s="1"/>
      <c r="H69" s="1"/>
      <c r="I69" s="1"/>
    </row>
    <row r="70" customFormat="false" ht="16.5" hidden="false" customHeight="true" outlineLevel="0" collapsed="false">
      <c r="A70" s="1"/>
      <c r="B70" s="1"/>
      <c r="C70" s="1"/>
      <c r="D70" s="1"/>
      <c r="E70" s="1"/>
      <c r="F70" s="1"/>
      <c r="G70" s="1"/>
      <c r="H70" s="1"/>
      <c r="I70" s="1"/>
    </row>
    <row r="71" customFormat="false" ht="16.5" hidden="false" customHeight="true" outlineLevel="0" collapsed="false">
      <c r="A71" s="1"/>
      <c r="B71" s="1"/>
      <c r="C71" s="1"/>
      <c r="D71" s="1"/>
      <c r="E71" s="1"/>
      <c r="F71" s="1"/>
      <c r="G71" s="1"/>
      <c r="H71" s="1"/>
      <c r="I71" s="1"/>
    </row>
    <row r="72" customFormat="false" ht="16.5" hidden="false" customHeight="true" outlineLevel="0" collapsed="false">
      <c r="A72" s="1"/>
      <c r="B72" s="1"/>
      <c r="C72" s="1"/>
      <c r="D72" s="1"/>
      <c r="E72" s="1"/>
      <c r="F72" s="1"/>
      <c r="G72" s="1"/>
      <c r="H72" s="1"/>
      <c r="I72" s="1"/>
    </row>
    <row r="73" customFormat="false" ht="16.5" hidden="false" customHeight="true" outlineLevel="0" collapsed="false">
      <c r="A73" s="1"/>
      <c r="B73" s="1"/>
      <c r="C73" s="1"/>
      <c r="D73" s="1"/>
      <c r="E73" s="1"/>
      <c r="F73" s="1"/>
      <c r="G73" s="1"/>
      <c r="H73" s="1"/>
      <c r="I73" s="1"/>
    </row>
    <row r="74" customFormat="false" ht="16.5" hidden="false" customHeight="true" outlineLevel="0" collapsed="false">
      <c r="A74" s="1"/>
      <c r="B74" s="1"/>
      <c r="C74" s="1"/>
      <c r="D74" s="1"/>
      <c r="E74" s="1"/>
      <c r="F74" s="1"/>
      <c r="G74" s="1"/>
      <c r="H74" s="1"/>
      <c r="I74" s="1"/>
    </row>
    <row r="75" customFormat="false" ht="16.5" hidden="false" customHeight="true" outlineLevel="0" collapsed="false">
      <c r="A75" s="1"/>
      <c r="B75" s="1"/>
      <c r="C75" s="1"/>
      <c r="D75" s="1"/>
      <c r="E75" s="1"/>
      <c r="F75" s="1"/>
      <c r="G75" s="1"/>
      <c r="H75" s="1"/>
      <c r="I75" s="1"/>
    </row>
    <row r="76" customFormat="false" ht="16.5" hidden="false" customHeight="true" outlineLevel="0" collapsed="false">
      <c r="A76" s="1"/>
      <c r="B76" s="1"/>
      <c r="C76" s="1"/>
      <c r="D76" s="1"/>
      <c r="E76" s="1"/>
      <c r="F76" s="1"/>
      <c r="G76" s="1"/>
      <c r="H76" s="1"/>
      <c r="I76" s="1"/>
    </row>
    <row r="77" customFormat="false" ht="16.5" hidden="false" customHeight="true" outlineLevel="0" collapsed="false">
      <c r="A77" s="1"/>
      <c r="B77" s="1"/>
      <c r="C77" s="1"/>
      <c r="D77" s="1"/>
      <c r="E77" s="1"/>
      <c r="F77" s="1"/>
      <c r="G77" s="1"/>
      <c r="H77" s="1"/>
      <c r="I77" s="1"/>
    </row>
    <row r="78" customFormat="false" ht="16.5" hidden="false" customHeight="true" outlineLevel="0" collapsed="false">
      <c r="A78" s="1"/>
      <c r="B78" s="1"/>
      <c r="C78" s="1"/>
      <c r="D78" s="1"/>
      <c r="E78" s="1"/>
      <c r="F78" s="1"/>
      <c r="G78" s="1"/>
      <c r="H78" s="1"/>
      <c r="I78" s="1"/>
    </row>
    <row r="79" customFormat="false" ht="16.5" hidden="false" customHeight="true" outlineLevel="0" collapsed="false">
      <c r="A79" s="1"/>
      <c r="B79" s="1"/>
      <c r="C79" s="1"/>
      <c r="D79" s="1"/>
      <c r="E79" s="1"/>
      <c r="F79" s="1"/>
      <c r="G79" s="1"/>
      <c r="H79" s="1"/>
      <c r="I79" s="1"/>
    </row>
    <row r="80" customFormat="false" ht="16.5" hidden="false" customHeight="true" outlineLevel="0" collapsed="false">
      <c r="A80" s="1"/>
      <c r="B80" s="1"/>
      <c r="C80" s="1"/>
      <c r="D80" s="1"/>
      <c r="E80" s="1"/>
      <c r="F80" s="1"/>
      <c r="G80" s="1"/>
      <c r="H80" s="1"/>
      <c r="I80" s="1"/>
    </row>
    <row r="81" customFormat="false" ht="16.5" hidden="false" customHeight="true" outlineLevel="0" collapsed="false">
      <c r="A81" s="1"/>
      <c r="B81" s="1"/>
      <c r="C81" s="1"/>
      <c r="D81" s="1"/>
      <c r="E81" s="1"/>
      <c r="F81" s="1"/>
      <c r="G81" s="1"/>
      <c r="H81" s="1"/>
      <c r="I81" s="1"/>
    </row>
    <row r="82" customFormat="false" ht="16.5" hidden="false" customHeight="true" outlineLevel="0" collapsed="false">
      <c r="A82" s="1"/>
      <c r="B82" s="1"/>
      <c r="C82" s="1"/>
      <c r="D82" s="1"/>
      <c r="E82" s="1"/>
      <c r="F82" s="1"/>
      <c r="G82" s="1"/>
      <c r="H82" s="1"/>
      <c r="I82" s="1"/>
    </row>
    <row r="83" customFormat="false" ht="16.5" hidden="false" customHeight="true" outlineLevel="0" collapsed="false">
      <c r="A83" s="1"/>
      <c r="B83" s="1"/>
      <c r="C83" s="1"/>
      <c r="D83" s="1"/>
      <c r="E83" s="1"/>
      <c r="F83" s="1"/>
      <c r="G83" s="1"/>
      <c r="H83" s="1"/>
      <c r="I83" s="1"/>
    </row>
    <row r="84" customFormat="false" ht="16.5" hidden="false" customHeight="true" outlineLevel="0" collapsed="false">
      <c r="A84" s="1"/>
      <c r="B84" s="1"/>
      <c r="C84" s="1"/>
      <c r="D84" s="1"/>
      <c r="E84" s="1"/>
      <c r="F84" s="1"/>
      <c r="G84" s="1"/>
      <c r="H84" s="1"/>
      <c r="I84" s="1"/>
    </row>
    <row r="85" customFormat="false" ht="16.5" hidden="false" customHeight="true" outlineLevel="0" collapsed="false">
      <c r="A85" s="1"/>
      <c r="B85" s="1"/>
      <c r="C85" s="1"/>
      <c r="D85" s="1"/>
      <c r="E85" s="1"/>
      <c r="F85" s="1"/>
      <c r="G85" s="1"/>
      <c r="H85" s="1"/>
      <c r="I85" s="1"/>
    </row>
    <row r="86" customFormat="false" ht="16.5" hidden="false" customHeight="true" outlineLevel="0" collapsed="false">
      <c r="A86" s="1"/>
      <c r="B86" s="1"/>
      <c r="C86" s="1"/>
      <c r="D86" s="1"/>
      <c r="E86" s="1"/>
      <c r="F86" s="1"/>
      <c r="G86" s="1"/>
      <c r="H86" s="1"/>
      <c r="I86" s="1"/>
    </row>
    <row r="87" customFormat="false" ht="16.5" hidden="false" customHeight="true" outlineLevel="0" collapsed="false">
      <c r="A87" s="1"/>
      <c r="B87" s="1"/>
      <c r="C87" s="1"/>
      <c r="D87" s="1"/>
      <c r="E87" s="1"/>
      <c r="F87" s="1"/>
      <c r="G87" s="1"/>
      <c r="H87" s="1"/>
      <c r="I87" s="1"/>
    </row>
    <row r="88" customFormat="false" ht="16.5" hidden="false" customHeight="true" outlineLevel="0" collapsed="false">
      <c r="A88" s="1"/>
      <c r="B88" s="1"/>
      <c r="C88" s="1"/>
      <c r="D88" s="1"/>
      <c r="E88" s="1"/>
      <c r="F88" s="1"/>
      <c r="G88" s="1"/>
      <c r="H88" s="1"/>
      <c r="I88" s="1"/>
    </row>
    <row r="89" customFormat="false" ht="16.5" hidden="false" customHeight="true" outlineLevel="0" collapsed="false">
      <c r="A89" s="1"/>
      <c r="B89" s="1"/>
      <c r="C89" s="1"/>
      <c r="D89" s="1"/>
      <c r="E89" s="1"/>
      <c r="F89" s="1"/>
      <c r="G89" s="1"/>
      <c r="H89" s="1"/>
      <c r="I89" s="1"/>
    </row>
    <row r="90" customFormat="false" ht="16.5" hidden="false" customHeight="true" outlineLevel="0" collapsed="false">
      <c r="A90" s="1"/>
      <c r="B90" s="1"/>
      <c r="C90" s="1"/>
      <c r="D90" s="1"/>
      <c r="E90" s="1"/>
      <c r="F90" s="1"/>
      <c r="G90" s="1"/>
      <c r="H90" s="1"/>
      <c r="I90" s="1"/>
    </row>
    <row r="91" customFormat="false" ht="16.5" hidden="false" customHeight="true" outlineLevel="0" collapsed="false">
      <c r="A91" s="1"/>
      <c r="B91" s="1"/>
      <c r="C91" s="1"/>
      <c r="D91" s="1"/>
      <c r="E91" s="1"/>
      <c r="F91" s="1"/>
      <c r="G91" s="1"/>
      <c r="H91" s="1"/>
      <c r="I91" s="1"/>
    </row>
    <row r="92" customFormat="false" ht="16.5" hidden="false" customHeight="true" outlineLevel="0" collapsed="false">
      <c r="A92" s="1"/>
      <c r="B92" s="1"/>
      <c r="C92" s="1"/>
      <c r="D92" s="1"/>
      <c r="E92" s="1"/>
      <c r="F92" s="1"/>
      <c r="G92" s="1"/>
      <c r="H92" s="1"/>
      <c r="I92" s="1"/>
    </row>
    <row r="93" customFormat="false" ht="16.5" hidden="false" customHeight="true" outlineLevel="0" collapsed="false">
      <c r="A93" s="1"/>
      <c r="B93" s="1"/>
      <c r="C93" s="1"/>
      <c r="D93" s="1"/>
      <c r="E93" s="1"/>
      <c r="F93" s="1"/>
      <c r="G93" s="1"/>
      <c r="H93" s="1"/>
      <c r="I93" s="1"/>
    </row>
    <row r="94" customFormat="false" ht="16.5" hidden="false" customHeight="true" outlineLevel="0" collapsed="false">
      <c r="A94" s="1"/>
      <c r="B94" s="1"/>
      <c r="C94" s="1"/>
      <c r="D94" s="1"/>
      <c r="E94" s="1"/>
      <c r="F94" s="1"/>
      <c r="G94" s="1"/>
      <c r="H94" s="1"/>
      <c r="I94" s="1"/>
    </row>
    <row r="95" customFormat="false" ht="16.5" hidden="false" customHeight="true" outlineLevel="0" collapsed="false">
      <c r="A95" s="1"/>
      <c r="B95" s="1"/>
      <c r="C95" s="1"/>
      <c r="D95" s="1"/>
      <c r="E95" s="1"/>
      <c r="F95" s="1"/>
      <c r="G95" s="1"/>
      <c r="H95" s="1"/>
      <c r="I95" s="1"/>
    </row>
    <row r="96" customFormat="false" ht="16.5" hidden="false" customHeight="true" outlineLevel="0" collapsed="false">
      <c r="A96" s="1"/>
      <c r="B96" s="1"/>
      <c r="C96" s="1"/>
      <c r="D96" s="1"/>
      <c r="E96" s="1"/>
      <c r="F96" s="1"/>
      <c r="G96" s="1"/>
      <c r="H96" s="1"/>
      <c r="I96" s="1"/>
    </row>
    <row r="97" customFormat="false" ht="16.5" hidden="false" customHeight="true" outlineLevel="0" collapsed="false">
      <c r="A97" s="1"/>
      <c r="B97" s="1"/>
      <c r="C97" s="1"/>
      <c r="D97" s="1"/>
      <c r="E97" s="1"/>
      <c r="F97" s="1"/>
      <c r="G97" s="1"/>
      <c r="H97" s="1"/>
      <c r="I97" s="1"/>
    </row>
    <row r="98" customFormat="false" ht="16.5" hidden="false" customHeight="true" outlineLevel="0" collapsed="false">
      <c r="A98" s="1"/>
      <c r="B98" s="1"/>
      <c r="C98" s="1"/>
      <c r="D98" s="1"/>
      <c r="E98" s="1"/>
      <c r="F98" s="1"/>
      <c r="G98" s="1"/>
      <c r="H98" s="1"/>
      <c r="I98" s="1"/>
    </row>
    <row r="99" customFormat="false" ht="16.5" hidden="false" customHeight="true" outlineLevel="0" collapsed="false">
      <c r="A99" s="1"/>
      <c r="B99" s="1"/>
      <c r="C99" s="1"/>
      <c r="D99" s="1"/>
      <c r="E99" s="1"/>
      <c r="F99" s="1"/>
      <c r="G99" s="1"/>
      <c r="H99" s="1"/>
      <c r="I99" s="1"/>
    </row>
    <row r="100" customFormat="false" ht="16.5" hidden="false" customHeight="true" outlineLevel="0" collapsed="false">
      <c r="A100" s="1"/>
      <c r="B100" s="1"/>
      <c r="C100" s="1"/>
      <c r="D100" s="1"/>
      <c r="E100" s="1"/>
      <c r="F100" s="1"/>
      <c r="G100" s="1"/>
      <c r="H100" s="1"/>
      <c r="I100" s="1"/>
    </row>
    <row r="101" customFormat="false" ht="16.5" hidden="false" customHeight="true" outlineLevel="0" collapsed="false">
      <c r="A101" s="1"/>
      <c r="B101" s="1"/>
      <c r="C101" s="1"/>
      <c r="D101" s="1"/>
      <c r="E101" s="1"/>
      <c r="F101" s="1"/>
      <c r="G101" s="1"/>
      <c r="H101" s="1"/>
      <c r="I101" s="1"/>
    </row>
    <row r="102" customFormat="false" ht="16.5" hidden="false" customHeight="true" outlineLevel="0" collapsed="false">
      <c r="A102" s="1"/>
      <c r="B102" s="1"/>
      <c r="C102" s="1"/>
      <c r="D102" s="1"/>
      <c r="E102" s="1"/>
      <c r="F102" s="1"/>
      <c r="G102" s="1"/>
      <c r="H102" s="1"/>
      <c r="I102" s="1"/>
    </row>
    <row r="103" customFormat="false" ht="16.5" hidden="false" customHeight="true" outlineLevel="0" collapsed="false">
      <c r="A103" s="1"/>
      <c r="B103" s="1"/>
      <c r="C103" s="1"/>
      <c r="D103" s="1"/>
      <c r="E103" s="1"/>
      <c r="F103" s="1"/>
      <c r="G103" s="1"/>
      <c r="H103" s="1"/>
      <c r="I103" s="1"/>
    </row>
    <row r="104" customFormat="false" ht="16.5" hidden="false" customHeight="true" outlineLevel="0" collapsed="false">
      <c r="A104" s="1"/>
      <c r="B104" s="1"/>
      <c r="C104" s="1"/>
      <c r="D104" s="1"/>
      <c r="E104" s="1"/>
      <c r="F104" s="1"/>
      <c r="G104" s="1"/>
      <c r="H104" s="1"/>
      <c r="I104" s="1"/>
    </row>
    <row r="105" customFormat="false" ht="16.5" hidden="false" customHeight="true" outlineLevel="0" collapsed="false">
      <c r="A105" s="1"/>
      <c r="B105" s="1"/>
      <c r="C105" s="1"/>
      <c r="D105" s="1"/>
      <c r="E105" s="1"/>
      <c r="F105" s="1"/>
      <c r="G105" s="1"/>
      <c r="H105" s="1"/>
      <c r="I105" s="1"/>
    </row>
    <row r="106" customFormat="false" ht="16.5" hidden="false" customHeight="true" outlineLevel="0" collapsed="false">
      <c r="A106" s="1"/>
      <c r="B106" s="1"/>
      <c r="C106" s="1"/>
      <c r="D106" s="1"/>
      <c r="E106" s="1"/>
      <c r="F106" s="1"/>
      <c r="G106" s="1"/>
      <c r="H106" s="1"/>
      <c r="I106" s="1"/>
    </row>
    <row r="107" customFormat="false" ht="16.5" hidden="false" customHeight="true" outlineLevel="0" collapsed="false">
      <c r="A107" s="1"/>
      <c r="B107" s="1"/>
      <c r="C107" s="1"/>
      <c r="D107" s="1"/>
      <c r="E107" s="1"/>
      <c r="F107" s="1"/>
      <c r="G107" s="1"/>
      <c r="H107" s="1"/>
      <c r="I107" s="1"/>
    </row>
    <row r="108" customFormat="false" ht="16.5" hidden="false" customHeight="true" outlineLevel="0" collapsed="false">
      <c r="A108" s="1"/>
      <c r="B108" s="1"/>
      <c r="C108" s="1"/>
      <c r="D108" s="1"/>
      <c r="E108" s="1"/>
      <c r="F108" s="1"/>
      <c r="G108" s="1"/>
      <c r="H108" s="1"/>
      <c r="I108" s="1"/>
    </row>
    <row r="109" customFormat="false" ht="16.5" hidden="false" customHeight="true" outlineLevel="0" collapsed="false">
      <c r="A109" s="1"/>
      <c r="B109" s="1"/>
      <c r="C109" s="1"/>
      <c r="D109" s="1"/>
      <c r="E109" s="1"/>
      <c r="F109" s="1"/>
      <c r="G109" s="1"/>
      <c r="H109" s="1"/>
      <c r="I109" s="1"/>
    </row>
    <row r="110" customFormat="false" ht="16.5" hidden="false" customHeight="true" outlineLevel="0" collapsed="false">
      <c r="A110" s="1"/>
      <c r="B110" s="1"/>
      <c r="C110" s="1"/>
      <c r="D110" s="1"/>
      <c r="E110" s="1"/>
      <c r="F110" s="1"/>
      <c r="G110" s="1"/>
      <c r="H110" s="1"/>
      <c r="I110" s="1"/>
    </row>
    <row r="111" customFormat="false" ht="16.5" hidden="false" customHeight="true" outlineLevel="0" collapsed="false">
      <c r="A111" s="1"/>
      <c r="B111" s="1"/>
      <c r="C111" s="1"/>
      <c r="D111" s="1"/>
      <c r="E111" s="1"/>
      <c r="F111" s="1"/>
      <c r="G111" s="1"/>
      <c r="H111" s="1"/>
      <c r="I111" s="1"/>
    </row>
    <row r="112" customFormat="false" ht="16.5" hidden="false" customHeight="true" outlineLevel="0" collapsed="false">
      <c r="A112" s="1"/>
      <c r="B112" s="1"/>
      <c r="C112" s="1"/>
      <c r="D112" s="1"/>
      <c r="E112" s="1"/>
      <c r="F112" s="1"/>
      <c r="G112" s="1"/>
      <c r="H112" s="1"/>
      <c r="I112" s="1"/>
    </row>
    <row r="113" customFormat="false" ht="16.5" hidden="false" customHeight="true" outlineLevel="0" collapsed="false">
      <c r="A113" s="1"/>
      <c r="B113" s="1"/>
      <c r="C113" s="1"/>
      <c r="D113" s="1"/>
      <c r="E113" s="1"/>
      <c r="F113" s="1"/>
      <c r="G113" s="1"/>
      <c r="H113" s="1"/>
      <c r="I113" s="1"/>
    </row>
    <row r="114" customFormat="false" ht="16.5" hidden="false" customHeight="true" outlineLevel="0" collapsed="false">
      <c r="A114" s="1"/>
      <c r="B114" s="1"/>
      <c r="C114" s="1"/>
      <c r="D114" s="1"/>
      <c r="E114" s="1"/>
      <c r="F114" s="1"/>
      <c r="G114" s="1"/>
      <c r="H114" s="1"/>
      <c r="I114" s="1"/>
    </row>
    <row r="115" customFormat="false" ht="16.5" hidden="false" customHeight="true" outlineLevel="0" collapsed="false">
      <c r="A115" s="1"/>
      <c r="B115" s="1"/>
      <c r="C115" s="1"/>
      <c r="D115" s="1"/>
      <c r="E115" s="1"/>
      <c r="F115" s="1"/>
      <c r="G115" s="1"/>
      <c r="H115" s="1"/>
      <c r="I115" s="1"/>
    </row>
    <row r="116" customFormat="false" ht="16.5" hidden="false" customHeight="true" outlineLevel="0" collapsed="false">
      <c r="A116" s="1"/>
      <c r="B116" s="1"/>
      <c r="C116" s="1"/>
      <c r="D116" s="1"/>
      <c r="E116" s="1"/>
      <c r="F116" s="1"/>
      <c r="G116" s="1"/>
      <c r="H116" s="1"/>
      <c r="I116" s="1"/>
    </row>
    <row r="117" customFormat="false" ht="16.5" hidden="false" customHeight="true" outlineLevel="0" collapsed="false">
      <c r="A117" s="1"/>
      <c r="B117" s="1"/>
      <c r="C117" s="1"/>
      <c r="D117" s="1"/>
      <c r="E117" s="1"/>
      <c r="F117" s="1"/>
      <c r="G117" s="1"/>
      <c r="H117" s="1"/>
      <c r="I117" s="1"/>
    </row>
    <row r="118" customFormat="false" ht="16.5" hidden="false" customHeight="true" outlineLevel="0" collapsed="false">
      <c r="A118" s="1"/>
      <c r="B118" s="1"/>
      <c r="C118" s="1"/>
      <c r="D118" s="1"/>
      <c r="E118" s="1"/>
      <c r="F118" s="1"/>
      <c r="G118" s="1"/>
      <c r="H118" s="1"/>
      <c r="I118" s="1"/>
    </row>
    <row r="119" customFormat="false" ht="16.5" hidden="false" customHeight="true" outlineLevel="0" collapsed="false">
      <c r="A119" s="1"/>
      <c r="B119" s="1"/>
      <c r="C119" s="1"/>
      <c r="D119" s="1"/>
      <c r="E119" s="1"/>
      <c r="F119" s="1"/>
      <c r="G119" s="1"/>
      <c r="H119" s="1"/>
      <c r="I119" s="1"/>
    </row>
    <row r="120" customFormat="false" ht="16.5" hidden="false" customHeight="true" outlineLevel="0" collapsed="false">
      <c r="A120" s="1"/>
      <c r="B120" s="1"/>
      <c r="C120" s="1"/>
      <c r="D120" s="1"/>
      <c r="E120" s="1"/>
      <c r="F120" s="1"/>
      <c r="G120" s="1"/>
      <c r="H120" s="1"/>
      <c r="I120" s="1"/>
    </row>
    <row r="121" customFormat="false" ht="16.5" hidden="false" customHeight="true" outlineLevel="0" collapsed="false">
      <c r="A121" s="1"/>
      <c r="B121" s="1"/>
      <c r="C121" s="1"/>
      <c r="D121" s="1"/>
      <c r="E121" s="1"/>
      <c r="F121" s="1"/>
      <c r="G121" s="1"/>
      <c r="H121" s="1"/>
      <c r="I121" s="1"/>
    </row>
    <row r="122" customFormat="false" ht="16.5" hidden="false" customHeight="true" outlineLevel="0" collapsed="false">
      <c r="A122" s="1"/>
      <c r="B122" s="1"/>
      <c r="C122" s="1"/>
      <c r="D122" s="1"/>
      <c r="E122" s="1"/>
      <c r="F122" s="1"/>
      <c r="G122" s="1"/>
      <c r="H122" s="1"/>
      <c r="I122" s="1"/>
    </row>
    <row r="123" customFormat="false" ht="16.5" hidden="false" customHeight="true" outlineLevel="0" collapsed="false">
      <c r="A123" s="1"/>
      <c r="B123" s="1"/>
      <c r="C123" s="1"/>
      <c r="D123" s="1"/>
      <c r="E123" s="1"/>
      <c r="F123" s="1"/>
      <c r="G123" s="1"/>
      <c r="H123" s="1"/>
      <c r="I123" s="1"/>
    </row>
    <row r="124" customFormat="false" ht="16.5" hidden="false" customHeight="true" outlineLevel="0" collapsed="false">
      <c r="A124" s="1"/>
      <c r="B124" s="1"/>
      <c r="C124" s="1"/>
      <c r="D124" s="1"/>
      <c r="E124" s="1"/>
      <c r="F124" s="1"/>
      <c r="G124" s="1"/>
      <c r="H124" s="1"/>
      <c r="I124" s="1"/>
    </row>
    <row r="125" customFormat="false" ht="16.5" hidden="false" customHeight="true" outlineLevel="0" collapsed="false">
      <c r="A125" s="1"/>
      <c r="B125" s="1"/>
      <c r="C125" s="1"/>
      <c r="D125" s="1"/>
      <c r="E125" s="1"/>
      <c r="F125" s="1"/>
      <c r="G125" s="1"/>
      <c r="H125" s="1"/>
      <c r="I125" s="1"/>
    </row>
    <row r="126" customFormat="false" ht="16.5" hidden="false" customHeight="true" outlineLevel="0" collapsed="false">
      <c r="A126" s="1"/>
      <c r="B126" s="1"/>
      <c r="C126" s="1"/>
      <c r="D126" s="1"/>
      <c r="E126" s="1"/>
      <c r="F126" s="1"/>
      <c r="G126" s="1"/>
      <c r="H126" s="1"/>
      <c r="I126" s="1"/>
    </row>
    <row r="127" customFormat="false" ht="16.5" hidden="false" customHeight="true" outlineLevel="0" collapsed="false">
      <c r="A127" s="1"/>
      <c r="B127" s="1"/>
      <c r="C127" s="1"/>
      <c r="D127" s="1"/>
      <c r="E127" s="1"/>
      <c r="F127" s="1"/>
      <c r="G127" s="1"/>
      <c r="H127" s="1"/>
      <c r="I127" s="1"/>
    </row>
    <row r="128" customFormat="false" ht="16.5" hidden="false" customHeight="true" outlineLevel="0" collapsed="false">
      <c r="A128" s="1"/>
      <c r="B128" s="1"/>
      <c r="C128" s="1"/>
      <c r="D128" s="1"/>
      <c r="E128" s="1"/>
      <c r="F128" s="1"/>
      <c r="G128" s="1"/>
      <c r="H128" s="1"/>
      <c r="I128" s="1"/>
    </row>
    <row r="129" customFormat="false" ht="16.5" hidden="false" customHeight="true" outlineLevel="0" collapsed="false">
      <c r="A129" s="1"/>
      <c r="B129" s="1"/>
      <c r="C129" s="1"/>
      <c r="D129" s="1"/>
      <c r="E129" s="1"/>
      <c r="F129" s="1"/>
      <c r="G129" s="1"/>
      <c r="H129" s="1"/>
      <c r="I129" s="1"/>
    </row>
    <row r="130" customFormat="false" ht="16.5" hidden="false" customHeight="true" outlineLevel="0" collapsed="false">
      <c r="A130" s="1"/>
      <c r="B130" s="1"/>
      <c r="C130" s="1"/>
      <c r="D130" s="1"/>
      <c r="E130" s="1"/>
      <c r="F130" s="1"/>
      <c r="G130" s="1"/>
      <c r="H130" s="1"/>
      <c r="I130" s="1"/>
    </row>
    <row r="131" customFormat="false" ht="16.5" hidden="false" customHeight="true" outlineLevel="0" collapsed="false">
      <c r="A131" s="1"/>
      <c r="B131" s="1"/>
      <c r="C131" s="1"/>
      <c r="D131" s="1"/>
      <c r="E131" s="1"/>
      <c r="F131" s="1"/>
      <c r="G131" s="1"/>
      <c r="H131" s="1"/>
      <c r="I131" s="1"/>
    </row>
    <row r="132" customFormat="false" ht="16.5" hidden="false" customHeight="true" outlineLevel="0" collapsed="false">
      <c r="A132" s="1"/>
      <c r="B132" s="1"/>
      <c r="C132" s="1"/>
      <c r="D132" s="1"/>
      <c r="E132" s="1"/>
      <c r="F132" s="1"/>
      <c r="G132" s="1"/>
      <c r="H132" s="1"/>
      <c r="I132" s="1"/>
    </row>
    <row r="133" customFormat="false" ht="16.5" hidden="false" customHeight="true" outlineLevel="0" collapsed="false">
      <c r="A133" s="1"/>
      <c r="B133" s="1"/>
      <c r="C133" s="1"/>
      <c r="D133" s="1"/>
      <c r="E133" s="1"/>
      <c r="F133" s="1"/>
      <c r="G133" s="1"/>
      <c r="H133" s="1"/>
      <c r="I133" s="1"/>
    </row>
    <row r="134" customFormat="false" ht="16.5" hidden="false" customHeight="true" outlineLevel="0" collapsed="false">
      <c r="A134" s="1"/>
      <c r="B134" s="1"/>
      <c r="C134" s="1"/>
      <c r="D134" s="1"/>
      <c r="E134" s="1"/>
      <c r="F134" s="1"/>
      <c r="G134" s="1"/>
      <c r="H134" s="1"/>
      <c r="I134" s="1"/>
    </row>
    <row r="135" customFormat="false" ht="16.5" hidden="false" customHeight="true" outlineLevel="0" collapsed="false">
      <c r="A135" s="1"/>
      <c r="B135" s="1"/>
      <c r="C135" s="1"/>
      <c r="D135" s="1"/>
      <c r="E135" s="1"/>
      <c r="F135" s="1"/>
      <c r="G135" s="1"/>
      <c r="H135" s="1"/>
      <c r="I135" s="1"/>
    </row>
    <row r="136" customFormat="false" ht="16.5" hidden="false" customHeight="true" outlineLevel="0" collapsed="false">
      <c r="A136" s="1"/>
      <c r="B136" s="1"/>
      <c r="C136" s="1"/>
      <c r="D136" s="1"/>
      <c r="E136" s="1"/>
      <c r="F136" s="1"/>
      <c r="G136" s="1"/>
      <c r="H136" s="1"/>
      <c r="I136" s="1"/>
    </row>
    <row r="137" customFormat="false" ht="16.5" hidden="false" customHeight="true" outlineLevel="0" collapsed="false">
      <c r="A137" s="1"/>
      <c r="B137" s="1"/>
      <c r="C137" s="1"/>
      <c r="D137" s="1"/>
      <c r="E137" s="1"/>
      <c r="F137" s="1"/>
      <c r="G137" s="1"/>
      <c r="H137" s="1"/>
      <c r="I137" s="1"/>
    </row>
    <row r="138" customFormat="false" ht="16.5" hidden="false" customHeight="true" outlineLevel="0" collapsed="false">
      <c r="A138" s="1"/>
      <c r="B138" s="1"/>
      <c r="C138" s="1"/>
      <c r="D138" s="1"/>
      <c r="E138" s="1"/>
      <c r="F138" s="1"/>
      <c r="G138" s="1"/>
      <c r="H138" s="1"/>
      <c r="I138" s="1"/>
    </row>
    <row r="139" customFormat="false" ht="16.5" hidden="false" customHeight="true" outlineLevel="0" collapsed="false">
      <c r="A139" s="1"/>
      <c r="B139" s="1"/>
      <c r="C139" s="1"/>
      <c r="D139" s="1"/>
      <c r="E139" s="1"/>
      <c r="F139" s="1"/>
      <c r="G139" s="1"/>
      <c r="H139" s="1"/>
      <c r="I139" s="1"/>
    </row>
    <row r="140" customFormat="false" ht="16.5" hidden="false" customHeight="true" outlineLevel="0" collapsed="false">
      <c r="A140" s="1"/>
      <c r="B140" s="1"/>
      <c r="C140" s="1"/>
      <c r="D140" s="1"/>
      <c r="E140" s="1"/>
      <c r="F140" s="1"/>
      <c r="G140" s="1"/>
      <c r="H140" s="1"/>
      <c r="I140" s="1"/>
    </row>
    <row r="141" customFormat="false" ht="16.5" hidden="false" customHeight="true" outlineLevel="0" collapsed="false">
      <c r="A141" s="1"/>
      <c r="B141" s="1"/>
      <c r="C141" s="1"/>
      <c r="D141" s="1"/>
      <c r="E141" s="1"/>
      <c r="F141" s="1"/>
      <c r="G141" s="1"/>
      <c r="H141" s="1"/>
      <c r="I141" s="1"/>
    </row>
    <row r="142" customFormat="false" ht="16.5" hidden="false" customHeight="true" outlineLevel="0" collapsed="false">
      <c r="A142" s="1"/>
      <c r="B142" s="1"/>
      <c r="C142" s="1"/>
      <c r="D142" s="1"/>
      <c r="E142" s="1"/>
      <c r="F142" s="1"/>
      <c r="G142" s="1"/>
      <c r="H142" s="1"/>
      <c r="I142" s="1"/>
    </row>
    <row r="143" customFormat="false" ht="16.5" hidden="false" customHeight="true" outlineLevel="0" collapsed="false">
      <c r="A143" s="1"/>
      <c r="B143" s="1"/>
      <c r="C143" s="1"/>
      <c r="D143" s="1"/>
      <c r="E143" s="1"/>
      <c r="F143" s="1"/>
      <c r="G143" s="1"/>
      <c r="H143" s="1"/>
      <c r="I143" s="1"/>
    </row>
    <row r="144" customFormat="false" ht="16.5" hidden="false" customHeight="true" outlineLevel="0" collapsed="false">
      <c r="A144" s="1"/>
      <c r="B144" s="1"/>
      <c r="C144" s="1"/>
      <c r="D144" s="1"/>
      <c r="E144" s="1"/>
      <c r="F144" s="1"/>
      <c r="G144" s="1"/>
      <c r="H144" s="1"/>
      <c r="I144" s="1"/>
    </row>
    <row r="145" customFormat="false" ht="16.5" hidden="false" customHeight="true" outlineLevel="0" collapsed="false">
      <c r="A145" s="1"/>
      <c r="B145" s="1"/>
      <c r="C145" s="1"/>
      <c r="D145" s="1"/>
      <c r="E145" s="1"/>
      <c r="F145" s="1"/>
      <c r="G145" s="1"/>
      <c r="H145" s="1"/>
      <c r="I145" s="1"/>
    </row>
    <row r="146" customFormat="false" ht="16.5" hidden="false" customHeight="true" outlineLevel="0" collapsed="false">
      <c r="A146" s="1"/>
      <c r="B146" s="1"/>
      <c r="C146" s="1"/>
      <c r="D146" s="1"/>
      <c r="E146" s="1"/>
      <c r="F146" s="1"/>
      <c r="G146" s="1"/>
      <c r="H146" s="1"/>
      <c r="I146" s="1"/>
    </row>
    <row r="147" customFormat="false" ht="16.5" hidden="false" customHeight="true" outlineLevel="0" collapsed="false">
      <c r="A147" s="1"/>
      <c r="B147" s="1"/>
      <c r="C147" s="1"/>
      <c r="D147" s="1"/>
      <c r="E147" s="1"/>
      <c r="F147" s="1"/>
      <c r="G147" s="1"/>
      <c r="H147" s="1"/>
      <c r="I147" s="1"/>
    </row>
    <row r="148" customFormat="false" ht="16.5" hidden="false" customHeight="true" outlineLevel="0" collapsed="false">
      <c r="A148" s="1"/>
      <c r="B148" s="1"/>
      <c r="C148" s="1"/>
      <c r="D148" s="1"/>
      <c r="E148" s="1"/>
      <c r="F148" s="1"/>
      <c r="G148" s="1"/>
      <c r="H148" s="1"/>
      <c r="I148" s="1"/>
    </row>
    <row r="149" customFormat="false" ht="16.5" hidden="false" customHeight="true" outlineLevel="0" collapsed="false">
      <c r="A149" s="1"/>
      <c r="B149" s="1"/>
      <c r="C149" s="1"/>
      <c r="D149" s="1"/>
      <c r="E149" s="1"/>
      <c r="F149" s="1"/>
      <c r="G149" s="1"/>
      <c r="H149" s="1"/>
      <c r="I149" s="1"/>
    </row>
    <row r="150" customFormat="false" ht="16.5" hidden="false" customHeight="true" outlineLevel="0" collapsed="false">
      <c r="A150" s="1"/>
      <c r="B150" s="1"/>
      <c r="C150" s="1"/>
      <c r="D150" s="1"/>
      <c r="E150" s="1"/>
      <c r="F150" s="1"/>
      <c r="G150" s="1"/>
      <c r="H150" s="1"/>
      <c r="I150" s="1"/>
    </row>
    <row r="151" customFormat="false" ht="16.5" hidden="false" customHeight="true" outlineLevel="0" collapsed="false">
      <c r="A151" s="1"/>
      <c r="B151" s="1"/>
      <c r="C151" s="1"/>
      <c r="D151" s="1"/>
      <c r="E151" s="1"/>
      <c r="F151" s="1"/>
      <c r="G151" s="1"/>
      <c r="H151" s="1"/>
      <c r="I151" s="1"/>
    </row>
    <row r="152" customFormat="false" ht="16.5" hidden="false" customHeight="true" outlineLevel="0" collapsed="false">
      <c r="A152" s="1"/>
      <c r="B152" s="1"/>
      <c r="C152" s="1"/>
      <c r="D152" s="1"/>
      <c r="E152" s="1"/>
      <c r="F152" s="1"/>
      <c r="G152" s="1"/>
      <c r="H152" s="1"/>
      <c r="I152" s="1"/>
    </row>
    <row r="153" customFormat="false" ht="16.5" hidden="false" customHeight="true" outlineLevel="0" collapsed="false">
      <c r="A153" s="1"/>
      <c r="B153" s="1"/>
      <c r="C153" s="1"/>
      <c r="D153" s="1"/>
      <c r="E153" s="1"/>
      <c r="F153" s="1"/>
      <c r="G153" s="1"/>
      <c r="H153" s="1"/>
      <c r="I153" s="1"/>
    </row>
    <row r="154" customFormat="false" ht="16.5" hidden="false" customHeight="true" outlineLevel="0" collapsed="false">
      <c r="A154" s="1"/>
      <c r="B154" s="1"/>
      <c r="C154" s="1"/>
      <c r="D154" s="1"/>
      <c r="E154" s="1"/>
      <c r="F154" s="1"/>
      <c r="G154" s="1"/>
      <c r="H154" s="1"/>
      <c r="I154" s="1"/>
    </row>
    <row r="155" customFormat="false" ht="16.5" hidden="false" customHeight="true" outlineLevel="0" collapsed="false">
      <c r="A155" s="1"/>
      <c r="B155" s="1"/>
      <c r="C155" s="1"/>
      <c r="D155" s="1"/>
      <c r="E155" s="1"/>
      <c r="F155" s="1"/>
      <c r="G155" s="1"/>
      <c r="H155" s="1"/>
      <c r="I155" s="1"/>
    </row>
    <row r="156" customFormat="false" ht="16.5" hidden="false" customHeight="true" outlineLevel="0" collapsed="false">
      <c r="A156" s="1"/>
      <c r="B156" s="1"/>
      <c r="C156" s="1"/>
      <c r="D156" s="1"/>
      <c r="E156" s="1"/>
      <c r="F156" s="1"/>
      <c r="G156" s="1"/>
      <c r="H156" s="1"/>
      <c r="I156" s="1"/>
    </row>
    <row r="157" customFormat="false" ht="16.5" hidden="false" customHeight="true" outlineLevel="0" collapsed="false">
      <c r="A157" s="1"/>
      <c r="B157" s="1"/>
      <c r="C157" s="1"/>
      <c r="D157" s="1"/>
      <c r="E157" s="1"/>
      <c r="F157" s="1"/>
      <c r="G157" s="1"/>
      <c r="H157" s="1"/>
      <c r="I157" s="1"/>
    </row>
    <row r="158" customFormat="false" ht="16.5" hidden="false" customHeight="true" outlineLevel="0" collapsed="false">
      <c r="A158" s="1"/>
      <c r="B158" s="1"/>
      <c r="C158" s="1"/>
      <c r="D158" s="1"/>
      <c r="E158" s="1"/>
      <c r="F158" s="1"/>
      <c r="G158" s="1"/>
      <c r="H158" s="1"/>
      <c r="I158" s="1"/>
    </row>
    <row r="159" customFormat="false" ht="16.5" hidden="false" customHeight="true" outlineLevel="0" collapsed="false">
      <c r="A159" s="1"/>
      <c r="B159" s="1"/>
      <c r="C159" s="1"/>
      <c r="D159" s="1"/>
      <c r="E159" s="1"/>
      <c r="F159" s="1"/>
      <c r="G159" s="1"/>
      <c r="H159" s="1"/>
      <c r="I159" s="1"/>
    </row>
    <row r="160" customFormat="false" ht="16.5" hidden="false" customHeight="true" outlineLevel="0" collapsed="false">
      <c r="A160" s="1"/>
      <c r="B160" s="1"/>
      <c r="C160" s="1"/>
      <c r="D160" s="1"/>
      <c r="E160" s="1"/>
      <c r="F160" s="1"/>
      <c r="G160" s="1"/>
      <c r="H160" s="1"/>
      <c r="I160" s="1"/>
    </row>
    <row r="161" customFormat="false" ht="16.5" hidden="false" customHeight="true" outlineLevel="0" collapsed="false">
      <c r="A161" s="1"/>
      <c r="B161" s="1"/>
      <c r="C161" s="1"/>
      <c r="D161" s="1"/>
      <c r="E161" s="1"/>
      <c r="F161" s="1"/>
      <c r="G161" s="1"/>
      <c r="H161" s="1"/>
      <c r="I161" s="1"/>
    </row>
    <row r="162" customFormat="false" ht="16.5" hidden="false" customHeight="true" outlineLevel="0" collapsed="false">
      <c r="A162" s="1"/>
      <c r="B162" s="1"/>
      <c r="C162" s="1"/>
      <c r="D162" s="1"/>
      <c r="E162" s="1"/>
      <c r="F162" s="1"/>
      <c r="G162" s="1"/>
      <c r="H162" s="1"/>
      <c r="I162" s="1"/>
    </row>
    <row r="163" customFormat="false" ht="16.5" hidden="false" customHeight="true" outlineLevel="0" collapsed="false">
      <c r="A163" s="1"/>
      <c r="B163" s="1"/>
      <c r="C163" s="1"/>
      <c r="D163" s="1"/>
      <c r="E163" s="1"/>
      <c r="F163" s="1"/>
      <c r="G163" s="1"/>
      <c r="H163" s="1"/>
      <c r="I163" s="1"/>
    </row>
    <row r="164" customFormat="false" ht="16.5" hidden="false" customHeight="true" outlineLevel="0" collapsed="false">
      <c r="A164" s="1"/>
      <c r="B164" s="1"/>
      <c r="C164" s="1"/>
      <c r="D164" s="1"/>
      <c r="E164" s="1"/>
      <c r="F164" s="1"/>
      <c r="G164" s="1"/>
      <c r="H164" s="1"/>
      <c r="I164" s="1"/>
    </row>
    <row r="165" customFormat="false" ht="16.5" hidden="false" customHeight="true" outlineLevel="0" collapsed="false">
      <c r="A165" s="1"/>
      <c r="B165" s="1"/>
      <c r="C165" s="1"/>
      <c r="D165" s="1"/>
      <c r="E165" s="1"/>
      <c r="F165" s="1"/>
      <c r="G165" s="1"/>
      <c r="H165" s="1"/>
      <c r="I165" s="1"/>
    </row>
    <row r="166" customFormat="false" ht="16.5" hidden="false" customHeight="true" outlineLevel="0" collapsed="false">
      <c r="A166" s="1"/>
      <c r="B166" s="1"/>
      <c r="C166" s="1"/>
      <c r="D166" s="1"/>
      <c r="E166" s="1"/>
      <c r="F166" s="1"/>
      <c r="G166" s="1"/>
      <c r="H166" s="1"/>
      <c r="I166" s="1"/>
    </row>
    <row r="167" customFormat="false" ht="16.5" hidden="false" customHeight="true" outlineLevel="0" collapsed="false">
      <c r="A167" s="1"/>
      <c r="B167" s="1"/>
      <c r="C167" s="1"/>
      <c r="D167" s="1"/>
      <c r="E167" s="1"/>
      <c r="F167" s="1"/>
      <c r="G167" s="1"/>
      <c r="H167" s="1"/>
      <c r="I167" s="1"/>
    </row>
    <row r="168" customFormat="false" ht="16.5" hidden="false" customHeight="true" outlineLevel="0" collapsed="false">
      <c r="A168" s="1"/>
      <c r="B168" s="1"/>
      <c r="C168" s="1"/>
      <c r="D168" s="1"/>
      <c r="E168" s="1"/>
      <c r="F168" s="1"/>
      <c r="G168" s="1"/>
      <c r="H168" s="1"/>
      <c r="I168" s="1"/>
    </row>
    <row r="169" customFormat="false" ht="16.5" hidden="false" customHeight="true" outlineLevel="0" collapsed="false">
      <c r="A169" s="1"/>
      <c r="B169" s="1"/>
      <c r="C169" s="1"/>
      <c r="D169" s="1"/>
      <c r="E169" s="1"/>
      <c r="F169" s="1"/>
      <c r="G169" s="1"/>
      <c r="H169" s="1"/>
      <c r="I169" s="1"/>
    </row>
    <row r="170" customFormat="false" ht="16.5" hidden="false" customHeight="true" outlineLevel="0" collapsed="false">
      <c r="A170" s="1"/>
      <c r="B170" s="1"/>
      <c r="C170" s="1"/>
      <c r="D170" s="1"/>
      <c r="E170" s="1"/>
      <c r="F170" s="1"/>
      <c r="G170" s="1"/>
      <c r="H170" s="1"/>
      <c r="I170" s="1"/>
    </row>
    <row r="171" customFormat="false" ht="16.5" hidden="false" customHeight="true" outlineLevel="0" collapsed="false">
      <c r="A171" s="1"/>
      <c r="B171" s="1"/>
      <c r="C171" s="1"/>
      <c r="D171" s="1"/>
      <c r="E171" s="1"/>
      <c r="F171" s="1"/>
      <c r="G171" s="1"/>
      <c r="H171" s="1"/>
      <c r="I171" s="1"/>
    </row>
    <row r="172" customFormat="false" ht="16.5" hidden="false" customHeight="true" outlineLevel="0" collapsed="false">
      <c r="A172" s="1"/>
      <c r="B172" s="1"/>
      <c r="C172" s="1"/>
      <c r="D172" s="1"/>
      <c r="E172" s="1"/>
      <c r="F172" s="1"/>
      <c r="G172" s="1"/>
      <c r="H172" s="1"/>
      <c r="I172" s="1"/>
    </row>
    <row r="173" customFormat="false" ht="16.5" hidden="false" customHeight="true" outlineLevel="0" collapsed="false">
      <c r="A173" s="1"/>
      <c r="B173" s="1"/>
      <c r="C173" s="1"/>
      <c r="D173" s="1"/>
      <c r="E173" s="1"/>
      <c r="F173" s="1"/>
      <c r="G173" s="1"/>
      <c r="H173" s="1"/>
      <c r="I173" s="1"/>
    </row>
    <row r="174" customFormat="false" ht="16.5" hidden="false" customHeight="true" outlineLevel="0" collapsed="false">
      <c r="A174" s="1"/>
      <c r="B174" s="1"/>
      <c r="C174" s="1"/>
      <c r="D174" s="1"/>
      <c r="E174" s="1"/>
      <c r="F174" s="1"/>
      <c r="G174" s="1"/>
      <c r="H174" s="1"/>
      <c r="I174" s="1"/>
    </row>
    <row r="175" customFormat="false" ht="16.5" hidden="false" customHeight="true" outlineLevel="0" collapsed="false">
      <c r="A175" s="1"/>
      <c r="B175" s="1"/>
      <c r="C175" s="1"/>
      <c r="D175" s="1"/>
      <c r="E175" s="1"/>
      <c r="F175" s="1"/>
      <c r="G175" s="1"/>
      <c r="H175" s="1"/>
      <c r="I175" s="1"/>
    </row>
    <row r="176" customFormat="false" ht="16.5" hidden="false" customHeight="true" outlineLevel="0" collapsed="false">
      <c r="A176" s="1"/>
      <c r="B176" s="1"/>
      <c r="C176" s="1"/>
      <c r="D176" s="1"/>
      <c r="E176" s="1"/>
      <c r="F176" s="1"/>
      <c r="G176" s="1"/>
      <c r="H176" s="1"/>
      <c r="I176" s="1"/>
    </row>
    <row r="177" customFormat="false" ht="16.5" hidden="false" customHeight="true" outlineLevel="0" collapsed="false">
      <c r="A177" s="1"/>
      <c r="B177" s="1"/>
      <c r="C177" s="1"/>
      <c r="D177" s="1"/>
      <c r="E177" s="1"/>
      <c r="F177" s="1"/>
      <c r="G177" s="1"/>
      <c r="H177" s="1"/>
      <c r="I177" s="1"/>
    </row>
    <row r="178" customFormat="false" ht="16.5" hidden="false" customHeight="true" outlineLevel="0" collapsed="false">
      <c r="A178" s="1"/>
      <c r="B178" s="1"/>
      <c r="C178" s="1"/>
      <c r="D178" s="1"/>
      <c r="E178" s="1"/>
      <c r="F178" s="1"/>
      <c r="G178" s="1"/>
      <c r="H178" s="1"/>
      <c r="I178" s="1"/>
    </row>
    <row r="179" customFormat="false" ht="16.5" hidden="false" customHeight="true" outlineLevel="0" collapsed="false">
      <c r="A179" s="1"/>
      <c r="B179" s="1"/>
      <c r="C179" s="1"/>
      <c r="D179" s="1"/>
      <c r="E179" s="1"/>
      <c r="F179" s="1"/>
      <c r="G179" s="1"/>
      <c r="H179" s="1"/>
      <c r="I179" s="1"/>
    </row>
    <row r="180" customFormat="false" ht="16.5" hidden="false" customHeight="true" outlineLevel="0" collapsed="false">
      <c r="A180" s="1"/>
      <c r="B180" s="1"/>
      <c r="C180" s="1"/>
      <c r="D180" s="1"/>
      <c r="E180" s="1"/>
      <c r="F180" s="1"/>
      <c r="G180" s="1"/>
      <c r="H180" s="1"/>
      <c r="I180" s="1"/>
    </row>
    <row r="181" customFormat="false" ht="16.5" hidden="false" customHeight="true" outlineLevel="0" collapsed="false">
      <c r="A181" s="1"/>
      <c r="B181" s="1"/>
      <c r="C181" s="1"/>
      <c r="D181" s="1"/>
      <c r="E181" s="1"/>
      <c r="F181" s="1"/>
      <c r="G181" s="1"/>
      <c r="H181" s="1"/>
      <c r="I181" s="1"/>
    </row>
    <row r="182" customFormat="false" ht="16.5" hidden="false" customHeight="true" outlineLevel="0" collapsed="false">
      <c r="A182" s="1"/>
      <c r="B182" s="1"/>
      <c r="C182" s="1"/>
      <c r="D182" s="1"/>
      <c r="E182" s="1"/>
      <c r="F182" s="1"/>
      <c r="G182" s="1"/>
      <c r="H182" s="1"/>
      <c r="I182" s="1"/>
    </row>
    <row r="183" customFormat="false" ht="16.5" hidden="false" customHeight="true" outlineLevel="0" collapsed="false">
      <c r="A183" s="1"/>
      <c r="B183" s="1"/>
      <c r="C183" s="1"/>
      <c r="D183" s="1"/>
      <c r="E183" s="1"/>
      <c r="F183" s="1"/>
      <c r="G183" s="1"/>
      <c r="H183" s="1"/>
      <c r="I183" s="1"/>
    </row>
    <row r="184" customFormat="false" ht="16.5" hidden="false" customHeight="true" outlineLevel="0" collapsed="false">
      <c r="A184" s="1"/>
      <c r="B184" s="1"/>
      <c r="C184" s="1"/>
      <c r="D184" s="1"/>
      <c r="E184" s="1"/>
      <c r="F184" s="1"/>
      <c r="G184" s="1"/>
      <c r="H184" s="1"/>
      <c r="I184" s="1"/>
    </row>
    <row r="185" customFormat="false" ht="16.5" hidden="false" customHeight="true" outlineLevel="0" collapsed="false">
      <c r="A185" s="1"/>
      <c r="B185" s="1"/>
      <c r="C185" s="1"/>
      <c r="D185" s="1"/>
      <c r="E185" s="1"/>
      <c r="F185" s="1"/>
      <c r="G185" s="1"/>
      <c r="H185" s="1"/>
      <c r="I185" s="1"/>
    </row>
    <row r="186" customFormat="false" ht="16.5" hidden="false" customHeight="true" outlineLevel="0" collapsed="false">
      <c r="A186" s="1"/>
      <c r="B186" s="1"/>
      <c r="C186" s="1"/>
      <c r="D186" s="1"/>
      <c r="E186" s="1"/>
      <c r="F186" s="1"/>
      <c r="G186" s="1"/>
      <c r="H186" s="1"/>
      <c r="I186" s="1"/>
    </row>
    <row r="187" customFormat="false" ht="16.5" hidden="false" customHeight="true" outlineLevel="0" collapsed="false">
      <c r="A187" s="1"/>
      <c r="B187" s="1"/>
      <c r="C187" s="1"/>
      <c r="D187" s="1"/>
      <c r="E187" s="1"/>
      <c r="F187" s="1"/>
      <c r="G187" s="1"/>
      <c r="H187" s="1"/>
      <c r="I187" s="1"/>
    </row>
    <row r="188" customFormat="false" ht="16.5" hidden="false" customHeight="true" outlineLevel="0" collapsed="false">
      <c r="A188" s="1"/>
      <c r="B188" s="1"/>
      <c r="C188" s="1"/>
      <c r="D188" s="1"/>
      <c r="E188" s="1"/>
      <c r="F188" s="1"/>
      <c r="G188" s="1"/>
      <c r="H188" s="1"/>
      <c r="I188" s="1"/>
    </row>
    <row r="189" customFormat="false" ht="16.5" hidden="false" customHeight="true" outlineLevel="0" collapsed="false">
      <c r="A189" s="1"/>
      <c r="B189" s="1"/>
      <c r="C189" s="1"/>
      <c r="D189" s="1"/>
      <c r="E189" s="1"/>
      <c r="F189" s="1"/>
      <c r="G189" s="1"/>
      <c r="H189" s="1"/>
      <c r="I189" s="1"/>
    </row>
    <row r="190" customFormat="false" ht="16.5" hidden="false" customHeight="true" outlineLevel="0" collapsed="false">
      <c r="A190" s="1"/>
      <c r="B190" s="1"/>
      <c r="C190" s="1"/>
      <c r="D190" s="1"/>
      <c r="E190" s="1"/>
      <c r="F190" s="1"/>
      <c r="G190" s="1"/>
      <c r="H190" s="1"/>
      <c r="I190" s="1"/>
    </row>
    <row r="191" customFormat="false" ht="16.5" hidden="false" customHeight="true" outlineLevel="0" collapsed="false">
      <c r="A191" s="1"/>
      <c r="B191" s="1"/>
      <c r="C191" s="1"/>
      <c r="D191" s="1"/>
      <c r="E191" s="1"/>
      <c r="F191" s="1"/>
      <c r="G191" s="1"/>
      <c r="H191" s="1"/>
      <c r="I191" s="1"/>
    </row>
    <row r="192" customFormat="false" ht="16.5" hidden="false" customHeight="true" outlineLevel="0" collapsed="false">
      <c r="A192" s="1"/>
      <c r="B192" s="1"/>
      <c r="C192" s="1"/>
      <c r="D192" s="1"/>
      <c r="E192" s="1"/>
      <c r="F192" s="1"/>
      <c r="G192" s="1"/>
      <c r="H192" s="1"/>
      <c r="I192" s="1"/>
    </row>
    <row r="193" customFormat="false" ht="16.5" hidden="false" customHeight="true" outlineLevel="0" collapsed="false">
      <c r="A193" s="1"/>
      <c r="B193" s="1"/>
      <c r="C193" s="1"/>
      <c r="D193" s="1"/>
      <c r="E193" s="1"/>
      <c r="F193" s="1"/>
      <c r="G193" s="1"/>
      <c r="H193" s="1"/>
      <c r="I193" s="1"/>
    </row>
    <row r="194" customFormat="false" ht="16.5" hidden="false" customHeight="true" outlineLevel="0" collapsed="false">
      <c r="A194" s="1"/>
      <c r="B194" s="1"/>
      <c r="C194" s="1"/>
      <c r="D194" s="1"/>
      <c r="E194" s="1"/>
      <c r="F194" s="1"/>
      <c r="G194" s="1"/>
      <c r="H194" s="1"/>
      <c r="I194" s="1"/>
    </row>
    <row r="195" customFormat="false" ht="16.5" hidden="false" customHeight="true" outlineLevel="0" collapsed="false">
      <c r="A195" s="1"/>
      <c r="B195" s="1"/>
      <c r="C195" s="1"/>
      <c r="D195" s="1"/>
      <c r="E195" s="1"/>
      <c r="F195" s="1"/>
      <c r="G195" s="1"/>
      <c r="H195" s="1"/>
      <c r="I195" s="1"/>
    </row>
    <row r="196" customFormat="false" ht="16.5" hidden="false" customHeight="true" outlineLevel="0" collapsed="false">
      <c r="A196" s="1"/>
      <c r="B196" s="1"/>
      <c r="C196" s="1"/>
      <c r="D196" s="1"/>
      <c r="E196" s="1"/>
      <c r="F196" s="1"/>
      <c r="G196" s="1"/>
      <c r="H196" s="1"/>
      <c r="I196" s="1"/>
    </row>
    <row r="197" customFormat="false" ht="16.5" hidden="false" customHeight="true" outlineLevel="0" collapsed="false">
      <c r="A197" s="1"/>
      <c r="B197" s="1"/>
      <c r="C197" s="1"/>
      <c r="D197" s="1"/>
      <c r="E197" s="1"/>
      <c r="F197" s="1"/>
      <c r="G197" s="1"/>
      <c r="H197" s="1"/>
      <c r="I197" s="1"/>
    </row>
    <row r="198" customFormat="false" ht="16.5" hidden="false" customHeight="true" outlineLevel="0" collapsed="false">
      <c r="A198" s="1"/>
      <c r="B198" s="1"/>
      <c r="C198" s="1"/>
      <c r="D198" s="1"/>
      <c r="E198" s="1"/>
      <c r="F198" s="1"/>
      <c r="G198" s="1"/>
      <c r="H198" s="1"/>
      <c r="I198" s="1"/>
    </row>
    <row r="199" customFormat="false" ht="16.5" hidden="false" customHeight="true" outlineLevel="0" collapsed="false">
      <c r="A199" s="1"/>
      <c r="B199" s="1"/>
      <c r="C199" s="1"/>
      <c r="D199" s="1"/>
      <c r="E199" s="1"/>
      <c r="F199" s="1"/>
      <c r="G199" s="1"/>
      <c r="H199" s="1"/>
      <c r="I199" s="1"/>
    </row>
    <row r="200" customFormat="false" ht="16.5" hidden="false" customHeight="true" outlineLevel="0" collapsed="false">
      <c r="A200" s="1"/>
      <c r="B200" s="1"/>
      <c r="C200" s="1"/>
      <c r="D200" s="1"/>
      <c r="E200" s="1"/>
      <c r="F200" s="1"/>
      <c r="G200" s="1"/>
      <c r="H200" s="1"/>
      <c r="I200" s="1"/>
    </row>
    <row r="201" customFormat="false" ht="16.5" hidden="false" customHeight="true" outlineLevel="0" collapsed="false">
      <c r="A201" s="1"/>
      <c r="B201" s="1"/>
      <c r="C201" s="1"/>
      <c r="D201" s="1"/>
      <c r="E201" s="1"/>
      <c r="F201" s="1"/>
      <c r="G201" s="1"/>
      <c r="H201" s="1"/>
      <c r="I201" s="1"/>
    </row>
    <row r="202" customFormat="false" ht="16.5" hidden="false" customHeight="true" outlineLevel="0" collapsed="false">
      <c r="A202" s="1"/>
      <c r="B202" s="1"/>
      <c r="C202" s="1"/>
      <c r="D202" s="1"/>
      <c r="E202" s="1"/>
      <c r="F202" s="1"/>
      <c r="G202" s="1"/>
      <c r="H202" s="1"/>
      <c r="I202" s="1"/>
    </row>
    <row r="203" customFormat="false" ht="16.5" hidden="false" customHeight="true" outlineLevel="0" collapsed="false">
      <c r="A203" s="1"/>
      <c r="B203" s="1"/>
      <c r="C203" s="1"/>
      <c r="D203" s="1"/>
      <c r="E203" s="1"/>
      <c r="F203" s="1"/>
      <c r="G203" s="1"/>
      <c r="H203" s="1"/>
      <c r="I203" s="1"/>
    </row>
    <row r="204" customFormat="false" ht="16.5" hidden="false" customHeight="true" outlineLevel="0" collapsed="false">
      <c r="A204" s="1"/>
      <c r="B204" s="1"/>
      <c r="C204" s="1"/>
      <c r="D204" s="1"/>
      <c r="E204" s="1"/>
      <c r="F204" s="1"/>
      <c r="G204" s="1"/>
      <c r="H204" s="1"/>
      <c r="I204" s="1"/>
    </row>
    <row r="205" customFormat="false" ht="16.5" hidden="false" customHeight="true" outlineLevel="0" collapsed="false">
      <c r="A205" s="1"/>
      <c r="B205" s="1"/>
      <c r="C205" s="1"/>
      <c r="D205" s="1"/>
      <c r="E205" s="1"/>
      <c r="F205" s="1"/>
      <c r="G205" s="1"/>
      <c r="H205" s="1"/>
      <c r="I205" s="1"/>
    </row>
    <row r="206" customFormat="false" ht="16.5" hidden="false" customHeight="true" outlineLevel="0" collapsed="false">
      <c r="A206" s="1"/>
      <c r="B206" s="1"/>
      <c r="C206" s="1"/>
      <c r="D206" s="1"/>
      <c r="E206" s="1"/>
      <c r="F206" s="1"/>
      <c r="G206" s="1"/>
      <c r="H206" s="1"/>
      <c r="I206" s="1"/>
    </row>
    <row r="207" customFormat="false" ht="16.5" hidden="false" customHeight="true" outlineLevel="0" collapsed="false">
      <c r="A207" s="1"/>
      <c r="B207" s="1"/>
      <c r="C207" s="1"/>
      <c r="D207" s="1"/>
      <c r="E207" s="1"/>
      <c r="F207" s="1"/>
      <c r="G207" s="1"/>
      <c r="H207" s="1"/>
      <c r="I207" s="1"/>
    </row>
    <row r="208" customFormat="false" ht="16.5" hidden="false" customHeight="true" outlineLevel="0" collapsed="false">
      <c r="A208" s="1"/>
      <c r="B208" s="1"/>
      <c r="C208" s="1"/>
      <c r="D208" s="1"/>
      <c r="E208" s="1"/>
      <c r="F208" s="1"/>
      <c r="G208" s="1"/>
      <c r="H208" s="1"/>
      <c r="I208" s="1"/>
    </row>
    <row r="209" customFormat="false" ht="16.5" hidden="false" customHeight="true" outlineLevel="0" collapsed="false">
      <c r="A209" s="1"/>
      <c r="B209" s="1"/>
      <c r="C209" s="1"/>
      <c r="D209" s="1"/>
      <c r="E209" s="1"/>
      <c r="F209" s="1"/>
      <c r="G209" s="1"/>
      <c r="H209" s="1"/>
      <c r="I209" s="1"/>
    </row>
    <row r="210" customFormat="false" ht="16.5" hidden="false" customHeight="true" outlineLevel="0" collapsed="false">
      <c r="A210" s="1"/>
      <c r="B210" s="1"/>
      <c r="C210" s="1"/>
      <c r="D210" s="1"/>
      <c r="E210" s="1"/>
      <c r="F210" s="1"/>
      <c r="G210" s="1"/>
      <c r="H210" s="1"/>
      <c r="I210" s="1"/>
    </row>
    <row r="211" customFormat="false" ht="16.5" hidden="false" customHeight="true" outlineLevel="0" collapsed="false">
      <c r="A211" s="1"/>
      <c r="B211" s="1"/>
      <c r="C211" s="1"/>
      <c r="D211" s="1"/>
      <c r="E211" s="1"/>
      <c r="F211" s="1"/>
      <c r="G211" s="1"/>
      <c r="H211" s="1"/>
      <c r="I211" s="1"/>
    </row>
    <row r="212" customFormat="false" ht="16.5" hidden="false" customHeight="true" outlineLevel="0" collapsed="false">
      <c r="A212" s="1"/>
      <c r="B212" s="1"/>
      <c r="C212" s="1"/>
      <c r="D212" s="1"/>
      <c r="E212" s="1"/>
      <c r="F212" s="1"/>
      <c r="G212" s="1"/>
      <c r="H212" s="1"/>
      <c r="I212" s="1"/>
    </row>
    <row r="213" customFormat="false" ht="16.5" hidden="false" customHeight="true" outlineLevel="0" collapsed="false">
      <c r="A213" s="1"/>
      <c r="B213" s="1"/>
      <c r="C213" s="1"/>
      <c r="D213" s="1"/>
      <c r="E213" s="1"/>
      <c r="F213" s="1"/>
      <c r="G213" s="1"/>
      <c r="H213" s="1"/>
      <c r="I213" s="1"/>
    </row>
    <row r="214" customFormat="false" ht="16.5" hidden="false" customHeight="true" outlineLevel="0" collapsed="false">
      <c r="A214" s="1"/>
      <c r="B214" s="1"/>
      <c r="C214" s="1"/>
      <c r="D214" s="1"/>
      <c r="E214" s="1"/>
      <c r="F214" s="1"/>
      <c r="G214" s="1"/>
      <c r="H214" s="1"/>
      <c r="I214" s="1"/>
    </row>
    <row r="215" customFormat="false" ht="16.5" hidden="false" customHeight="true" outlineLevel="0" collapsed="false">
      <c r="A215" s="1"/>
      <c r="B215" s="1"/>
      <c r="C215" s="1"/>
      <c r="D215" s="1"/>
      <c r="E215" s="1"/>
      <c r="F215" s="1"/>
      <c r="G215" s="1"/>
      <c r="H215" s="1"/>
      <c r="I215" s="1"/>
    </row>
    <row r="216" customFormat="false" ht="16.5" hidden="false" customHeight="true" outlineLevel="0" collapsed="false">
      <c r="A216" s="1"/>
      <c r="B216" s="1"/>
      <c r="C216" s="1"/>
      <c r="D216" s="1"/>
      <c r="E216" s="1"/>
      <c r="F216" s="1"/>
      <c r="G216" s="1"/>
      <c r="H216" s="1"/>
      <c r="I216" s="1"/>
    </row>
    <row r="217" customFormat="false" ht="16.5" hidden="false" customHeight="true" outlineLevel="0" collapsed="false">
      <c r="A217" s="1"/>
      <c r="B217" s="1"/>
      <c r="C217" s="1"/>
      <c r="D217" s="1"/>
      <c r="E217" s="1"/>
      <c r="F217" s="1"/>
      <c r="G217" s="1"/>
      <c r="H217" s="1"/>
      <c r="I217" s="1"/>
    </row>
    <row r="218" customFormat="false" ht="16.5" hidden="false" customHeight="true" outlineLevel="0" collapsed="false">
      <c r="A218" s="1"/>
      <c r="B218" s="1"/>
      <c r="C218" s="1"/>
      <c r="D218" s="1"/>
      <c r="E218" s="1"/>
      <c r="F218" s="1"/>
      <c r="G218" s="1"/>
      <c r="H218" s="1"/>
      <c r="I218" s="1"/>
    </row>
    <row r="219" customFormat="false" ht="16.5" hidden="false" customHeight="true" outlineLevel="0" collapsed="false">
      <c r="A219" s="1"/>
      <c r="B219" s="1"/>
      <c r="C219" s="1"/>
      <c r="D219" s="1"/>
      <c r="E219" s="1"/>
      <c r="F219" s="1"/>
      <c r="G219" s="1"/>
      <c r="H219" s="1"/>
      <c r="I219" s="1"/>
    </row>
    <row r="220" customFormat="false" ht="16.5" hidden="false" customHeight="true" outlineLevel="0" collapsed="false">
      <c r="A220" s="1"/>
      <c r="B220" s="1"/>
      <c r="C220" s="1"/>
      <c r="D220" s="1"/>
      <c r="E220" s="1"/>
      <c r="F220" s="1"/>
      <c r="G220" s="1"/>
      <c r="H220" s="1"/>
      <c r="I220" s="1"/>
    </row>
    <row r="221" customFormat="false" ht="16.5" hidden="false" customHeight="true" outlineLevel="0" collapsed="false">
      <c r="A221" s="1"/>
      <c r="B221" s="1"/>
      <c r="C221" s="1"/>
      <c r="D221" s="1"/>
      <c r="E221" s="1"/>
      <c r="F221" s="1"/>
      <c r="G221" s="1"/>
      <c r="H221" s="1"/>
      <c r="I221" s="1"/>
    </row>
    <row r="222" customFormat="false" ht="16.5" hidden="false" customHeight="true" outlineLevel="0" collapsed="false">
      <c r="A222" s="1"/>
      <c r="B222" s="1"/>
      <c r="C222" s="1"/>
      <c r="D222" s="1"/>
      <c r="E222" s="1"/>
      <c r="F222" s="1"/>
      <c r="G222" s="1"/>
      <c r="H222" s="1"/>
      <c r="I222" s="1"/>
    </row>
    <row r="223" customFormat="false" ht="16.5" hidden="false" customHeight="true" outlineLevel="0" collapsed="false">
      <c r="A223" s="1"/>
      <c r="B223" s="1"/>
      <c r="C223" s="1"/>
      <c r="D223" s="1"/>
      <c r="E223" s="1"/>
      <c r="F223" s="1"/>
      <c r="G223" s="1"/>
      <c r="H223" s="1"/>
      <c r="I223" s="1"/>
    </row>
    <row r="224" customFormat="false" ht="16.5" hidden="false" customHeight="true" outlineLevel="0" collapsed="false">
      <c r="A224" s="1"/>
      <c r="B224" s="1"/>
      <c r="C224" s="1"/>
      <c r="D224" s="1"/>
      <c r="E224" s="1"/>
      <c r="F224" s="1"/>
      <c r="G224" s="1"/>
      <c r="H224" s="1"/>
      <c r="I224" s="1"/>
    </row>
    <row r="225" customFormat="false" ht="16.5" hidden="false" customHeight="true" outlineLevel="0" collapsed="false">
      <c r="A225" s="1"/>
      <c r="B225" s="1"/>
      <c r="C225" s="1"/>
      <c r="D225" s="1"/>
      <c r="E225" s="1"/>
      <c r="F225" s="1"/>
      <c r="G225" s="1"/>
      <c r="H225" s="1"/>
      <c r="I225" s="1"/>
    </row>
    <row r="226" customFormat="false" ht="16.5" hidden="false" customHeight="true" outlineLevel="0" collapsed="false">
      <c r="A226" s="1"/>
      <c r="B226" s="1"/>
      <c r="C226" s="1"/>
      <c r="D226" s="1"/>
      <c r="E226" s="1"/>
      <c r="F226" s="1"/>
      <c r="G226" s="1"/>
      <c r="H226" s="1"/>
      <c r="I226" s="1"/>
    </row>
    <row r="227" customFormat="false" ht="16.5" hidden="false" customHeight="true" outlineLevel="0" collapsed="false">
      <c r="A227" s="1"/>
      <c r="B227" s="1"/>
      <c r="C227" s="1"/>
      <c r="D227" s="1"/>
      <c r="E227" s="1"/>
      <c r="F227" s="1"/>
      <c r="G227" s="1"/>
      <c r="H227" s="1"/>
      <c r="I227" s="1"/>
    </row>
    <row r="228" customFormat="false" ht="16.5" hidden="false" customHeight="true" outlineLevel="0" collapsed="false">
      <c r="A228" s="1"/>
      <c r="B228" s="1"/>
      <c r="C228" s="1"/>
      <c r="D228" s="1"/>
      <c r="E228" s="1"/>
      <c r="F228" s="1"/>
      <c r="G228" s="1"/>
      <c r="H228" s="1"/>
      <c r="I228" s="1"/>
    </row>
    <row r="229" customFormat="false" ht="16.5" hidden="false" customHeight="true" outlineLevel="0" collapsed="false">
      <c r="A229" s="1"/>
      <c r="B229" s="1"/>
      <c r="C229" s="1"/>
      <c r="D229" s="1"/>
      <c r="E229" s="1"/>
      <c r="F229" s="1"/>
      <c r="G229" s="1"/>
      <c r="H229" s="1"/>
      <c r="I229" s="1"/>
    </row>
    <row r="230" customFormat="false" ht="16.5" hidden="false" customHeight="true" outlineLevel="0" collapsed="false">
      <c r="A230" s="1"/>
      <c r="B230" s="1"/>
      <c r="C230" s="1"/>
      <c r="D230" s="1"/>
      <c r="E230" s="1"/>
      <c r="F230" s="1"/>
      <c r="G230" s="1"/>
      <c r="H230" s="1"/>
      <c r="I230" s="1"/>
    </row>
    <row r="231" customFormat="false" ht="16.5" hidden="false" customHeight="true" outlineLevel="0" collapsed="false">
      <c r="A231" s="1"/>
      <c r="B231" s="1"/>
      <c r="C231" s="1"/>
      <c r="D231" s="1"/>
      <c r="E231" s="1"/>
      <c r="F231" s="1"/>
      <c r="G231" s="1"/>
      <c r="H231" s="1"/>
      <c r="I231" s="1"/>
    </row>
    <row r="232" customFormat="false" ht="16.5" hidden="false" customHeight="true" outlineLevel="0" collapsed="false">
      <c r="A232" s="1"/>
      <c r="B232" s="1"/>
      <c r="C232" s="1"/>
      <c r="D232" s="1"/>
      <c r="E232" s="1"/>
      <c r="F232" s="1"/>
      <c r="G232" s="1"/>
      <c r="H232" s="1"/>
      <c r="I232" s="1"/>
    </row>
    <row r="233" customFormat="false" ht="16.5" hidden="false" customHeight="true" outlineLevel="0" collapsed="false">
      <c r="A233" s="1"/>
      <c r="B233" s="1"/>
      <c r="C233" s="1"/>
      <c r="D233" s="1"/>
      <c r="E233" s="1"/>
      <c r="F233" s="1"/>
      <c r="G233" s="1"/>
      <c r="H233" s="1"/>
      <c r="I233" s="1"/>
    </row>
    <row r="234" customFormat="false" ht="16.5" hidden="false" customHeight="true" outlineLevel="0" collapsed="false">
      <c r="A234" s="1"/>
      <c r="B234" s="1"/>
      <c r="C234" s="1"/>
      <c r="D234" s="1"/>
      <c r="E234" s="1"/>
      <c r="F234" s="1"/>
      <c r="G234" s="1"/>
      <c r="H234" s="1"/>
      <c r="I234" s="1"/>
    </row>
    <row r="235" customFormat="false" ht="16.5" hidden="false" customHeight="true" outlineLevel="0" collapsed="false">
      <c r="A235" s="1"/>
      <c r="B235" s="1"/>
      <c r="C235" s="1"/>
      <c r="D235" s="1"/>
      <c r="E235" s="1"/>
      <c r="F235" s="1"/>
      <c r="G235" s="1"/>
      <c r="H235" s="1"/>
      <c r="I235" s="1"/>
    </row>
    <row r="236" customFormat="false" ht="16.5" hidden="false" customHeight="true" outlineLevel="0" collapsed="false">
      <c r="A236" s="1"/>
      <c r="B236" s="1"/>
      <c r="C236" s="1"/>
      <c r="D236" s="1"/>
      <c r="E236" s="1"/>
      <c r="F236" s="1"/>
      <c r="G236" s="1"/>
      <c r="H236" s="1"/>
      <c r="I236" s="1"/>
    </row>
    <row r="237" customFormat="false" ht="16.5" hidden="false" customHeight="true" outlineLevel="0" collapsed="false">
      <c r="A237" s="1"/>
      <c r="B237" s="1"/>
      <c r="C237" s="1"/>
      <c r="D237" s="1"/>
      <c r="E237" s="1"/>
      <c r="F237" s="1"/>
      <c r="G237" s="1"/>
      <c r="H237" s="1"/>
      <c r="I237" s="1"/>
    </row>
    <row r="238" customFormat="false" ht="16.5" hidden="false" customHeight="true" outlineLevel="0" collapsed="false">
      <c r="A238" s="1"/>
      <c r="B238" s="1"/>
      <c r="C238" s="1"/>
      <c r="D238" s="1"/>
      <c r="E238" s="1"/>
      <c r="F238" s="1"/>
      <c r="G238" s="1"/>
      <c r="H238" s="1"/>
      <c r="I238" s="1"/>
    </row>
    <row r="239" customFormat="false" ht="16.5" hidden="false" customHeight="true" outlineLevel="0" collapsed="false">
      <c r="A239" s="1"/>
      <c r="B239" s="1"/>
      <c r="C239" s="1"/>
      <c r="D239" s="1"/>
      <c r="E239" s="1"/>
      <c r="F239" s="1"/>
      <c r="G239" s="1"/>
      <c r="H239" s="1"/>
      <c r="I239" s="1"/>
    </row>
    <row r="240" customFormat="false" ht="16.5" hidden="false" customHeight="true" outlineLevel="0" collapsed="false">
      <c r="A240" s="1"/>
      <c r="B240" s="1"/>
      <c r="C240" s="1"/>
      <c r="D240" s="1"/>
      <c r="E240" s="1"/>
      <c r="F240" s="1"/>
      <c r="G240" s="1"/>
      <c r="H240" s="1"/>
      <c r="I240" s="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5.94921875" defaultRowHeight="16.5" zeroHeight="false" outlineLevelRow="0" outlineLevelCol="0"/>
  <cols>
    <col collapsed="false" customWidth="true" hidden="false" outlineLevel="0" max="1" min="1" style="2" width="20.9"/>
    <col collapsed="false" customWidth="true" hidden="false" outlineLevel="0" max="2" min="2" style="3" width="27.21"/>
    <col collapsed="false" customWidth="true" hidden="false" outlineLevel="0" max="3" min="3" style="2" width="52.43"/>
    <col collapsed="false" customWidth="true" hidden="false" outlineLevel="0" max="4" min="4" style="2" width="64.85"/>
    <col collapsed="false" customWidth="true" hidden="false" outlineLevel="0" max="20" min="5" style="2" width="4.87"/>
    <col collapsed="false" customWidth="false" hidden="false" outlineLevel="0" max="16384" min="21" style="2" width="5.95"/>
  </cols>
  <sheetData>
    <row r="1" s="5" customFormat="true" ht="22.5" hidden="false" customHeight="true" outlineLevel="0" collapsed="false">
      <c r="A1" s="4" t="s">
        <v>0</v>
      </c>
      <c r="E1" s="6"/>
      <c r="F1" s="7" t="s">
        <v>1</v>
      </c>
      <c r="I1" s="8"/>
      <c r="J1" s="9" t="s">
        <v>2</v>
      </c>
      <c r="N1" s="10"/>
      <c r="O1" s="11" t="s">
        <v>3</v>
      </c>
      <c r="T1" s="12"/>
    </row>
    <row r="2" s="5" customFormat="true" ht="20.25" hidden="false" customHeight="true" outlineLevel="0" collapsed="false">
      <c r="A2" s="12" t="s">
        <v>4</v>
      </c>
      <c r="E2" s="12"/>
      <c r="F2" s="12"/>
      <c r="G2" s="12"/>
      <c r="H2" s="12"/>
      <c r="I2" s="12"/>
      <c r="J2" s="12"/>
      <c r="K2" s="12"/>
      <c r="L2" s="12"/>
      <c r="M2" s="12"/>
      <c r="N2" s="12"/>
      <c r="O2" s="12"/>
      <c r="P2" s="12"/>
      <c r="Q2" s="12"/>
      <c r="R2" s="12"/>
      <c r="S2" s="12"/>
      <c r="T2" s="12"/>
    </row>
    <row r="3" s="14" customFormat="true" ht="13.5" hidden="false" customHeight="true" outlineLevel="0" collapsed="false">
      <c r="A3" s="13" t="s">
        <v>5</v>
      </c>
      <c r="B3" s="13"/>
      <c r="C3" s="13"/>
      <c r="D3" s="13"/>
      <c r="E3" s="13"/>
      <c r="F3" s="13"/>
      <c r="G3" s="13"/>
      <c r="H3" s="13"/>
      <c r="I3" s="13"/>
      <c r="J3" s="13"/>
      <c r="K3" s="13"/>
      <c r="L3" s="13"/>
      <c r="M3" s="13"/>
      <c r="N3" s="13"/>
      <c r="O3" s="13"/>
      <c r="P3" s="13"/>
      <c r="Q3" s="13"/>
      <c r="R3" s="13"/>
      <c r="S3" s="13"/>
      <c r="T3" s="13"/>
    </row>
    <row r="4" s="5" customFormat="true" ht="19.5" hidden="false" customHeight="true" outlineLevel="0" collapsed="false">
      <c r="A4" s="15" t="s">
        <v>6</v>
      </c>
      <c r="B4" s="15"/>
      <c r="C4" s="15"/>
      <c r="D4" s="15"/>
      <c r="E4" s="15"/>
      <c r="F4" s="15"/>
      <c r="G4" s="15"/>
      <c r="H4" s="15"/>
      <c r="I4" s="15"/>
      <c r="J4" s="15"/>
      <c r="K4" s="15"/>
      <c r="L4" s="15"/>
      <c r="M4" s="15"/>
      <c r="N4" s="15"/>
      <c r="O4" s="15"/>
      <c r="P4" s="15"/>
      <c r="Q4" s="15"/>
      <c r="R4" s="15"/>
      <c r="S4" s="15"/>
      <c r="T4" s="15"/>
    </row>
    <row r="5" customFormat="false" ht="34.5" hidden="false" customHeight="true" outlineLevel="0" collapsed="false">
      <c r="A5" s="16" t="s">
        <v>7</v>
      </c>
      <c r="B5" s="17" t="s">
        <v>8</v>
      </c>
      <c r="C5" s="17" t="s">
        <v>9</v>
      </c>
      <c r="D5" s="16" t="s">
        <v>10</v>
      </c>
      <c r="E5" s="17" t="s">
        <v>11</v>
      </c>
      <c r="F5" s="17"/>
      <c r="G5" s="17"/>
      <c r="H5" s="17"/>
      <c r="I5" s="17" t="s">
        <v>12</v>
      </c>
      <c r="J5" s="17"/>
      <c r="K5" s="17"/>
      <c r="L5" s="17"/>
      <c r="M5" s="17" t="s">
        <v>13</v>
      </c>
      <c r="N5" s="17"/>
      <c r="O5" s="17"/>
      <c r="P5" s="17"/>
      <c r="Q5" s="17" t="s">
        <v>14</v>
      </c>
      <c r="R5" s="17"/>
      <c r="S5" s="17"/>
      <c r="T5" s="17"/>
    </row>
    <row r="6" customFormat="false" ht="16.5" hidden="false" customHeight="true" outlineLevel="0" collapsed="false">
      <c r="A6" s="16"/>
      <c r="B6" s="17"/>
      <c r="C6" s="17"/>
      <c r="D6" s="16"/>
      <c r="E6" s="18" t="s">
        <v>15</v>
      </c>
      <c r="F6" s="18" t="s">
        <v>16</v>
      </c>
      <c r="G6" s="18" t="s">
        <v>17</v>
      </c>
      <c r="H6" s="18" t="s">
        <v>18</v>
      </c>
      <c r="I6" s="18" t="s">
        <v>15</v>
      </c>
      <c r="J6" s="18" t="s">
        <v>16</v>
      </c>
      <c r="K6" s="18" t="s">
        <v>17</v>
      </c>
      <c r="L6" s="18" t="s">
        <v>18</v>
      </c>
      <c r="M6" s="18" t="s">
        <v>15</v>
      </c>
      <c r="N6" s="18" t="s">
        <v>16</v>
      </c>
      <c r="O6" s="18" t="s">
        <v>17</v>
      </c>
      <c r="P6" s="18" t="s">
        <v>18</v>
      </c>
      <c r="Q6" s="18" t="s">
        <v>19</v>
      </c>
      <c r="R6" s="18" t="s">
        <v>19</v>
      </c>
      <c r="S6" s="18" t="s">
        <v>19</v>
      </c>
      <c r="T6" s="18" t="s">
        <v>19</v>
      </c>
    </row>
    <row r="7" customFormat="false" ht="24.75" hidden="false" customHeight="true" outlineLevel="0" collapsed="false">
      <c r="A7" s="19" t="s">
        <v>20</v>
      </c>
      <c r="B7" s="20" t="s">
        <v>21</v>
      </c>
      <c r="C7" s="21" t="s">
        <v>22</v>
      </c>
      <c r="D7" s="22" t="s">
        <v>23</v>
      </c>
      <c r="E7" s="23"/>
      <c r="F7" s="24"/>
      <c r="G7" s="23"/>
      <c r="H7" s="23"/>
      <c r="I7" s="23"/>
      <c r="J7" s="23"/>
      <c r="K7" s="23"/>
      <c r="L7" s="23"/>
      <c r="M7" s="23"/>
      <c r="N7" s="23"/>
      <c r="O7" s="23"/>
      <c r="P7" s="23"/>
      <c r="Q7" s="23"/>
      <c r="R7" s="23"/>
      <c r="S7" s="23"/>
      <c r="T7" s="23"/>
    </row>
    <row r="8" customFormat="false" ht="24.75" hidden="false" customHeight="true" outlineLevel="0" collapsed="false">
      <c r="A8" s="19"/>
      <c r="B8" s="19"/>
      <c r="C8" s="19"/>
      <c r="D8" s="22" t="s">
        <v>24</v>
      </c>
      <c r="E8" s="23"/>
      <c r="F8" s="24"/>
      <c r="G8" s="24"/>
      <c r="H8" s="23"/>
      <c r="I8" s="23"/>
      <c r="J8" s="23"/>
      <c r="K8" s="24"/>
      <c r="L8" s="23"/>
      <c r="M8" s="23"/>
      <c r="N8" s="23"/>
      <c r="O8" s="23"/>
      <c r="P8" s="23"/>
      <c r="Q8" s="23"/>
      <c r="R8" s="23"/>
      <c r="S8" s="23"/>
      <c r="T8" s="23"/>
    </row>
    <row r="9" customFormat="false" ht="24.75" hidden="false" customHeight="true" outlineLevel="0" collapsed="false">
      <c r="A9" s="19"/>
      <c r="B9" s="19"/>
      <c r="C9" s="19"/>
      <c r="D9" s="22" t="s">
        <v>25</v>
      </c>
      <c r="E9" s="23"/>
      <c r="F9" s="24"/>
      <c r="G9" s="24"/>
      <c r="H9" s="23"/>
      <c r="I9" s="23"/>
      <c r="J9" s="23"/>
      <c r="K9" s="24"/>
      <c r="L9" s="23"/>
      <c r="M9" s="23"/>
      <c r="N9" s="23"/>
      <c r="O9" s="23"/>
      <c r="P9" s="23"/>
      <c r="Q9" s="23"/>
      <c r="R9" s="23"/>
      <c r="S9" s="23"/>
      <c r="T9" s="23"/>
    </row>
    <row r="10" customFormat="false" ht="24.75" hidden="false" customHeight="true" outlineLevel="0" collapsed="false">
      <c r="A10" s="19"/>
      <c r="B10" s="19"/>
      <c r="C10" s="21"/>
      <c r="D10" s="22" t="s">
        <v>26</v>
      </c>
      <c r="E10" s="23"/>
      <c r="F10" s="24"/>
      <c r="G10" s="25" t="s">
        <v>27</v>
      </c>
      <c r="H10" s="26" t="s">
        <v>28</v>
      </c>
      <c r="I10" s="23"/>
      <c r="J10" s="23"/>
      <c r="K10" s="23"/>
      <c r="L10" s="23"/>
      <c r="M10" s="23"/>
      <c r="N10" s="23"/>
      <c r="O10" s="23"/>
      <c r="P10" s="23"/>
      <c r="Q10" s="23"/>
      <c r="R10" s="23"/>
      <c r="S10" s="23"/>
      <c r="T10" s="23"/>
    </row>
    <row r="11" customFormat="false" ht="24.75" hidden="false" customHeight="true" outlineLevel="0" collapsed="false">
      <c r="A11" s="19"/>
      <c r="B11" s="19"/>
      <c r="C11" s="27" t="s">
        <v>29</v>
      </c>
      <c r="D11" s="28" t="s">
        <v>30</v>
      </c>
      <c r="E11" s="23"/>
      <c r="F11" s="23"/>
      <c r="G11" s="23"/>
      <c r="H11" s="23"/>
      <c r="I11" s="23"/>
      <c r="J11" s="23"/>
      <c r="K11" s="23"/>
      <c r="L11" s="23"/>
      <c r="M11" s="23"/>
      <c r="N11" s="23"/>
      <c r="O11" s="23"/>
      <c r="P11" s="23"/>
      <c r="Q11" s="23"/>
      <c r="R11" s="23"/>
      <c r="S11" s="23"/>
      <c r="T11" s="23"/>
    </row>
    <row r="12" customFormat="false" ht="24.75" hidden="false" customHeight="true" outlineLevel="0" collapsed="false">
      <c r="A12" s="19"/>
      <c r="B12" s="19"/>
      <c r="C12" s="19"/>
      <c r="D12" s="22" t="s">
        <v>31</v>
      </c>
      <c r="E12" s="23"/>
      <c r="F12" s="23"/>
      <c r="G12" s="23"/>
      <c r="H12" s="23"/>
      <c r="I12" s="23"/>
      <c r="J12" s="23"/>
      <c r="K12" s="23"/>
      <c r="L12" s="23"/>
      <c r="M12" s="23"/>
      <c r="N12" s="23"/>
      <c r="O12" s="23"/>
      <c r="P12" s="23"/>
      <c r="Q12" s="23"/>
      <c r="R12" s="23"/>
      <c r="S12" s="23"/>
      <c r="T12" s="23"/>
    </row>
    <row r="13" customFormat="false" ht="24.75" hidden="false" customHeight="true" outlineLevel="0" collapsed="false">
      <c r="A13" s="19"/>
      <c r="B13" s="19"/>
      <c r="C13" s="19"/>
      <c r="D13" s="22" t="s">
        <v>32</v>
      </c>
      <c r="E13" s="23"/>
      <c r="F13" s="23"/>
      <c r="G13" s="24"/>
      <c r="H13" s="23"/>
      <c r="I13" s="23"/>
      <c r="J13" s="23"/>
      <c r="K13" s="23"/>
      <c r="L13" s="23"/>
      <c r="M13" s="23"/>
      <c r="N13" s="23"/>
      <c r="O13" s="23"/>
      <c r="P13" s="23"/>
      <c r="Q13" s="23"/>
      <c r="R13" s="23"/>
      <c r="S13" s="23"/>
      <c r="T13" s="23"/>
    </row>
    <row r="14" customFormat="false" ht="24.75" hidden="false" customHeight="true" outlineLevel="0" collapsed="false">
      <c r="A14" s="19"/>
      <c r="B14" s="19"/>
      <c r="C14" s="19"/>
      <c r="D14" s="22" t="s">
        <v>33</v>
      </c>
      <c r="E14" s="23"/>
      <c r="F14" s="23"/>
      <c r="G14" s="24"/>
      <c r="H14" s="23"/>
      <c r="I14" s="23"/>
      <c r="J14" s="23"/>
      <c r="K14" s="23"/>
      <c r="L14" s="23"/>
      <c r="M14" s="23"/>
      <c r="N14" s="23"/>
      <c r="O14" s="23"/>
      <c r="P14" s="23"/>
      <c r="Q14" s="23"/>
      <c r="R14" s="23"/>
      <c r="S14" s="23"/>
      <c r="T14" s="23"/>
    </row>
    <row r="15" customFormat="false" ht="24.75" hidden="false" customHeight="true" outlineLevel="0" collapsed="false">
      <c r="A15" s="19"/>
      <c r="B15" s="20"/>
      <c r="C15" s="20"/>
      <c r="D15" s="22" t="s">
        <v>34</v>
      </c>
      <c r="E15" s="23"/>
      <c r="F15" s="23"/>
      <c r="G15" s="23"/>
      <c r="H15" s="29" t="s">
        <v>27</v>
      </c>
      <c r="I15" s="23"/>
      <c r="J15" s="26" t="s">
        <v>28</v>
      </c>
      <c r="K15" s="23"/>
      <c r="L15" s="23"/>
      <c r="M15" s="23"/>
      <c r="N15" s="23"/>
      <c r="O15" s="23"/>
      <c r="P15" s="23"/>
      <c r="Q15" s="23"/>
      <c r="R15" s="23"/>
      <c r="S15" s="23"/>
      <c r="T15" s="23"/>
    </row>
    <row r="16" customFormat="false" ht="24.75" hidden="false" customHeight="true" outlineLevel="0" collapsed="false">
      <c r="A16" s="19"/>
      <c r="B16" s="20" t="s">
        <v>35</v>
      </c>
      <c r="C16" s="27" t="s">
        <v>36</v>
      </c>
      <c r="D16" s="22" t="s">
        <v>37</v>
      </c>
      <c r="E16" s="23"/>
      <c r="F16" s="23"/>
      <c r="G16" s="23"/>
      <c r="H16" s="23"/>
      <c r="I16" s="23"/>
      <c r="J16" s="23"/>
      <c r="K16" s="23"/>
      <c r="L16" s="23"/>
      <c r="M16" s="23"/>
      <c r="N16" s="23"/>
      <c r="O16" s="23"/>
      <c r="P16" s="23"/>
      <c r="Q16" s="23"/>
      <c r="R16" s="23"/>
      <c r="S16" s="23"/>
      <c r="T16" s="23"/>
    </row>
    <row r="17" customFormat="false" ht="24.75" hidden="false" customHeight="true" outlineLevel="0" collapsed="false">
      <c r="A17" s="19"/>
      <c r="B17" s="19"/>
      <c r="C17" s="19"/>
      <c r="D17" s="22" t="s">
        <v>38</v>
      </c>
      <c r="E17" s="23"/>
      <c r="F17" s="23"/>
      <c r="G17" s="23"/>
      <c r="H17" s="23"/>
      <c r="I17" s="23"/>
      <c r="J17" s="23"/>
      <c r="K17" s="23"/>
      <c r="L17" s="23"/>
      <c r="M17" s="23"/>
      <c r="N17" s="23"/>
      <c r="O17" s="23"/>
      <c r="P17" s="23"/>
      <c r="Q17" s="23"/>
      <c r="R17" s="23"/>
      <c r="S17" s="23"/>
      <c r="T17" s="23"/>
    </row>
    <row r="18" customFormat="false" ht="24.75" hidden="false" customHeight="true" outlineLevel="0" collapsed="false">
      <c r="A18" s="19"/>
      <c r="B18" s="19"/>
      <c r="C18" s="19"/>
      <c r="D18" s="22" t="s">
        <v>39</v>
      </c>
      <c r="E18" s="23"/>
      <c r="F18" s="23"/>
      <c r="G18" s="23"/>
      <c r="H18" s="23"/>
      <c r="I18" s="23"/>
      <c r="J18" s="23"/>
      <c r="K18" s="23"/>
      <c r="L18" s="23"/>
      <c r="M18" s="23"/>
      <c r="N18" s="23"/>
      <c r="O18" s="23"/>
      <c r="P18" s="23"/>
      <c r="Q18" s="23"/>
      <c r="R18" s="23"/>
      <c r="S18" s="23"/>
      <c r="T18" s="23"/>
    </row>
    <row r="19" customFormat="false" ht="24.75" hidden="false" customHeight="true" outlineLevel="0" collapsed="false">
      <c r="A19" s="19"/>
      <c r="B19" s="19"/>
      <c r="C19" s="19"/>
      <c r="D19" s="22" t="s">
        <v>40</v>
      </c>
      <c r="E19" s="23"/>
      <c r="F19" s="23"/>
      <c r="G19" s="23"/>
      <c r="H19" s="23"/>
      <c r="I19" s="23"/>
      <c r="J19" s="23"/>
      <c r="K19" s="23"/>
      <c r="L19" s="23"/>
      <c r="M19" s="23"/>
      <c r="N19" s="23"/>
      <c r="O19" s="23"/>
      <c r="P19" s="23"/>
      <c r="Q19" s="23"/>
      <c r="R19" s="23"/>
      <c r="S19" s="23"/>
      <c r="T19" s="23"/>
    </row>
    <row r="20" customFormat="false" ht="24.75" hidden="false" customHeight="true" outlineLevel="0" collapsed="false">
      <c r="A20" s="19"/>
      <c r="B20" s="20"/>
      <c r="C20" s="20"/>
      <c r="D20" s="22" t="s">
        <v>41</v>
      </c>
      <c r="E20" s="23"/>
      <c r="F20" s="23"/>
      <c r="G20" s="23"/>
      <c r="H20" s="23"/>
      <c r="I20" s="29" t="s">
        <v>27</v>
      </c>
      <c r="J20" s="23"/>
      <c r="K20" s="26" t="s">
        <v>28</v>
      </c>
      <c r="L20" s="23"/>
      <c r="M20" s="23"/>
      <c r="N20" s="23"/>
      <c r="O20" s="23"/>
      <c r="P20" s="23"/>
      <c r="Q20" s="23"/>
      <c r="R20" s="23"/>
      <c r="S20" s="23"/>
      <c r="T20" s="23"/>
    </row>
    <row r="21" customFormat="false" ht="24.75" hidden="false" customHeight="true" outlineLevel="0" collapsed="false">
      <c r="A21" s="19"/>
      <c r="B21" s="20" t="s">
        <v>42</v>
      </c>
      <c r="C21" s="27" t="s">
        <v>43</v>
      </c>
      <c r="D21" s="22" t="s">
        <v>44</v>
      </c>
      <c r="E21" s="23"/>
      <c r="F21" s="23"/>
      <c r="G21" s="23"/>
      <c r="H21" s="23"/>
      <c r="I21" s="23"/>
      <c r="J21" s="23"/>
      <c r="K21" s="23"/>
      <c r="L21" s="23"/>
      <c r="M21" s="23"/>
      <c r="N21" s="23"/>
      <c r="O21" s="23"/>
      <c r="P21" s="23"/>
      <c r="Q21" s="23"/>
      <c r="R21" s="23"/>
      <c r="S21" s="23"/>
      <c r="T21" s="23"/>
    </row>
    <row r="22" customFormat="false" ht="24.75" hidden="false" customHeight="true" outlineLevel="0" collapsed="false">
      <c r="A22" s="19"/>
      <c r="B22" s="19"/>
      <c r="C22" s="19"/>
      <c r="D22" s="22" t="s">
        <v>45</v>
      </c>
      <c r="E22" s="23"/>
      <c r="F22" s="23"/>
      <c r="G22" s="23"/>
      <c r="H22" s="23"/>
      <c r="I22" s="23"/>
      <c r="J22" s="23"/>
      <c r="K22" s="23"/>
      <c r="L22" s="23"/>
      <c r="M22" s="23"/>
      <c r="N22" s="23"/>
      <c r="O22" s="23"/>
      <c r="P22" s="23"/>
      <c r="Q22" s="23"/>
      <c r="R22" s="23"/>
      <c r="S22" s="23"/>
      <c r="T22" s="23"/>
    </row>
    <row r="23" customFormat="false" ht="24.75" hidden="false" customHeight="true" outlineLevel="0" collapsed="false">
      <c r="A23" s="19"/>
      <c r="B23" s="19"/>
      <c r="C23" s="19"/>
      <c r="D23" s="22" t="s">
        <v>46</v>
      </c>
      <c r="E23" s="23"/>
      <c r="F23" s="23"/>
      <c r="G23" s="23"/>
      <c r="H23" s="23"/>
      <c r="I23" s="23"/>
      <c r="J23" s="23"/>
      <c r="K23" s="23"/>
      <c r="L23" s="23"/>
      <c r="M23" s="23"/>
      <c r="N23" s="23"/>
      <c r="O23" s="23"/>
      <c r="P23" s="23"/>
      <c r="Q23" s="23"/>
      <c r="R23" s="23"/>
      <c r="S23" s="23"/>
      <c r="T23" s="23"/>
    </row>
    <row r="24" customFormat="false" ht="24.75" hidden="false" customHeight="true" outlineLevel="0" collapsed="false">
      <c r="A24" s="19"/>
      <c r="B24" s="19"/>
      <c r="C24" s="19"/>
      <c r="D24" s="22" t="s">
        <v>47</v>
      </c>
      <c r="E24" s="23"/>
      <c r="F24" s="23"/>
      <c r="G24" s="23"/>
      <c r="H24" s="23"/>
      <c r="I24" s="23"/>
      <c r="J24" s="23"/>
      <c r="K24" s="23"/>
      <c r="L24" s="23"/>
      <c r="M24" s="23"/>
      <c r="N24" s="23"/>
      <c r="O24" s="23"/>
      <c r="P24" s="23"/>
      <c r="Q24" s="23"/>
      <c r="R24" s="23"/>
      <c r="S24" s="23"/>
      <c r="T24" s="23"/>
    </row>
    <row r="25" customFormat="false" ht="24.75" hidden="false" customHeight="true" outlineLevel="0" collapsed="false">
      <c r="A25" s="19"/>
      <c r="B25" s="19"/>
      <c r="C25" s="19"/>
      <c r="D25" s="22" t="s">
        <v>48</v>
      </c>
      <c r="E25" s="23"/>
      <c r="F25" s="23"/>
      <c r="G25" s="23"/>
      <c r="H25" s="23"/>
      <c r="I25" s="23"/>
      <c r="J25" s="23"/>
      <c r="K25" s="23"/>
      <c r="L25" s="23"/>
      <c r="M25" s="23"/>
      <c r="N25" s="23"/>
      <c r="O25" s="23"/>
      <c r="P25" s="23"/>
      <c r="Q25" s="23"/>
      <c r="R25" s="23"/>
      <c r="S25" s="23"/>
      <c r="T25" s="23"/>
    </row>
    <row r="26" customFormat="false" ht="24.75" hidden="false" customHeight="true" outlineLevel="0" collapsed="false">
      <c r="A26" s="19"/>
      <c r="B26" s="19"/>
      <c r="C26" s="19"/>
      <c r="D26" s="22" t="s">
        <v>49</v>
      </c>
      <c r="E26" s="23"/>
      <c r="F26" s="23"/>
      <c r="G26" s="23"/>
      <c r="H26" s="23"/>
      <c r="I26" s="23"/>
      <c r="J26" s="29" t="s">
        <v>27</v>
      </c>
      <c r="K26" s="23"/>
      <c r="L26" s="26" t="s">
        <v>28</v>
      </c>
      <c r="M26" s="23"/>
      <c r="N26" s="23"/>
      <c r="O26" s="23"/>
      <c r="P26" s="23"/>
      <c r="Q26" s="23"/>
      <c r="R26" s="23"/>
      <c r="S26" s="23"/>
      <c r="T26" s="23"/>
    </row>
    <row r="27" customFormat="false" ht="24.75" hidden="false" customHeight="true" outlineLevel="0" collapsed="false">
      <c r="A27" s="20" t="s">
        <v>50</v>
      </c>
      <c r="B27" s="20" t="s">
        <v>51</v>
      </c>
      <c r="C27" s="27" t="s">
        <v>52</v>
      </c>
      <c r="D27" s="22" t="s">
        <v>53</v>
      </c>
      <c r="E27" s="23"/>
      <c r="F27" s="23"/>
      <c r="G27" s="23"/>
      <c r="H27" s="23"/>
      <c r="I27" s="23"/>
      <c r="J27" s="23"/>
      <c r="K27" s="23"/>
      <c r="L27" s="23"/>
      <c r="M27" s="23"/>
      <c r="N27" s="23"/>
      <c r="O27" s="23"/>
      <c r="P27" s="23"/>
      <c r="Q27" s="23"/>
      <c r="R27" s="23"/>
      <c r="S27" s="23"/>
      <c r="T27" s="23"/>
    </row>
    <row r="28" customFormat="false" ht="24.75" hidden="false" customHeight="true" outlineLevel="0" collapsed="false">
      <c r="A28" s="20"/>
      <c r="B28" s="20"/>
      <c r="C28" s="20"/>
      <c r="D28" s="22" t="s">
        <v>54</v>
      </c>
      <c r="E28" s="23"/>
      <c r="F28" s="23"/>
      <c r="G28" s="23"/>
      <c r="H28" s="23"/>
      <c r="I28" s="24"/>
      <c r="J28" s="23"/>
      <c r="K28" s="23"/>
      <c r="L28" s="23"/>
      <c r="M28" s="23"/>
      <c r="N28" s="23"/>
      <c r="O28" s="23"/>
      <c r="P28" s="23"/>
      <c r="Q28" s="23"/>
      <c r="R28" s="23"/>
      <c r="S28" s="23"/>
      <c r="T28" s="23"/>
    </row>
    <row r="29" customFormat="false" ht="24.75" hidden="false" customHeight="true" outlineLevel="0" collapsed="false">
      <c r="A29" s="20"/>
      <c r="B29" s="20"/>
      <c r="C29" s="20"/>
      <c r="D29" s="22" t="s">
        <v>55</v>
      </c>
      <c r="E29" s="23" t="s">
        <v>56</v>
      </c>
      <c r="F29" s="23"/>
      <c r="G29" s="23"/>
      <c r="H29" s="23"/>
      <c r="I29" s="24"/>
      <c r="J29" s="23"/>
      <c r="K29" s="23"/>
      <c r="L29" s="23"/>
      <c r="M29" s="23"/>
      <c r="N29" s="23"/>
      <c r="O29" s="23"/>
      <c r="P29" s="23"/>
      <c r="Q29" s="23"/>
      <c r="R29" s="23"/>
      <c r="S29" s="23"/>
      <c r="T29" s="23"/>
    </row>
    <row r="30" customFormat="false" ht="24.75" hidden="false" customHeight="true" outlineLevel="0" collapsed="false">
      <c r="A30" s="20"/>
      <c r="B30" s="20" t="s">
        <v>57</v>
      </c>
      <c r="C30" s="27" t="s">
        <v>58</v>
      </c>
      <c r="D30" s="22" t="s">
        <v>59</v>
      </c>
      <c r="E30" s="23"/>
      <c r="F30" s="23"/>
      <c r="G30" s="23"/>
      <c r="H30" s="23"/>
      <c r="I30" s="24"/>
      <c r="J30" s="23"/>
      <c r="K30" s="23"/>
      <c r="L30" s="23"/>
      <c r="M30" s="23"/>
      <c r="N30" s="23"/>
      <c r="O30" s="23"/>
      <c r="P30" s="23"/>
      <c r="Q30" s="23"/>
      <c r="R30" s="23"/>
      <c r="S30" s="23"/>
      <c r="T30" s="23"/>
    </row>
    <row r="31" customFormat="false" ht="24.75" hidden="false" customHeight="true" outlineLevel="0" collapsed="false">
      <c r="A31" s="20"/>
      <c r="B31" s="20"/>
      <c r="C31" s="20"/>
      <c r="D31" s="22" t="s">
        <v>60</v>
      </c>
      <c r="E31" s="23"/>
      <c r="F31" s="23"/>
      <c r="G31" s="23"/>
      <c r="H31" s="23"/>
      <c r="I31" s="24"/>
      <c r="J31" s="23"/>
      <c r="K31" s="23"/>
      <c r="L31" s="23"/>
      <c r="M31" s="23"/>
      <c r="N31" s="23"/>
      <c r="O31" s="23"/>
      <c r="P31" s="23"/>
      <c r="Q31" s="23"/>
      <c r="R31" s="23"/>
      <c r="S31" s="23"/>
      <c r="T31" s="23"/>
    </row>
    <row r="32" customFormat="false" ht="24.75" hidden="false" customHeight="true" outlineLevel="0" collapsed="false">
      <c r="A32" s="20"/>
      <c r="B32" s="20"/>
      <c r="C32" s="27"/>
      <c r="D32" s="22" t="s">
        <v>61</v>
      </c>
      <c r="E32" s="23"/>
      <c r="F32" s="23"/>
      <c r="G32" s="23"/>
      <c r="H32" s="23"/>
      <c r="I32" s="23"/>
      <c r="J32" s="23"/>
      <c r="K32" s="29" t="s">
        <v>27</v>
      </c>
      <c r="L32" s="23"/>
      <c r="M32" s="26" t="s">
        <v>28</v>
      </c>
      <c r="N32" s="23"/>
      <c r="O32" s="23"/>
      <c r="P32" s="23"/>
      <c r="Q32" s="23"/>
      <c r="R32" s="23"/>
      <c r="S32" s="23"/>
      <c r="T32" s="23"/>
    </row>
    <row r="33" customFormat="false" ht="24.75" hidden="false" customHeight="true" outlineLevel="0" collapsed="false">
      <c r="A33" s="20"/>
      <c r="B33" s="20"/>
      <c r="C33" s="27" t="s">
        <v>62</v>
      </c>
      <c r="D33" s="22" t="s">
        <v>63</v>
      </c>
      <c r="E33" s="23"/>
      <c r="F33" s="23"/>
      <c r="G33" s="23"/>
      <c r="H33" s="23"/>
      <c r="I33" s="23"/>
      <c r="J33" s="23"/>
      <c r="K33" s="23"/>
      <c r="L33" s="23"/>
      <c r="M33" s="23"/>
      <c r="N33" s="23"/>
      <c r="O33" s="23"/>
      <c r="P33" s="23"/>
      <c r="Q33" s="23"/>
      <c r="R33" s="23"/>
      <c r="S33" s="23"/>
      <c r="T33" s="23"/>
    </row>
    <row r="34" customFormat="false" ht="24.75" hidden="false" customHeight="true" outlineLevel="0" collapsed="false">
      <c r="A34" s="20"/>
      <c r="B34" s="20"/>
      <c r="C34" s="20"/>
      <c r="D34" s="22" t="s">
        <v>64</v>
      </c>
      <c r="E34" s="23"/>
      <c r="F34" s="23"/>
      <c r="G34" s="23"/>
      <c r="H34" s="23"/>
      <c r="I34" s="23"/>
      <c r="J34" s="23"/>
      <c r="K34" s="23"/>
      <c r="L34" s="23"/>
      <c r="M34" s="23"/>
      <c r="N34" s="23"/>
      <c r="O34" s="23"/>
      <c r="P34" s="23"/>
      <c r="Q34" s="23"/>
      <c r="R34" s="23"/>
      <c r="S34" s="23"/>
      <c r="T34" s="23"/>
    </row>
    <row r="35" customFormat="false" ht="24.75" hidden="false" customHeight="true" outlineLevel="0" collapsed="false">
      <c r="A35" s="20"/>
      <c r="B35" s="20"/>
      <c r="C35" s="20"/>
      <c r="D35" s="22" t="s">
        <v>65</v>
      </c>
      <c r="E35" s="23"/>
      <c r="F35" s="23"/>
      <c r="G35" s="23"/>
      <c r="H35" s="23"/>
      <c r="I35" s="23"/>
      <c r="J35" s="23"/>
      <c r="K35" s="23"/>
      <c r="L35" s="23"/>
      <c r="M35" s="29" t="s">
        <v>27</v>
      </c>
      <c r="N35" s="23"/>
      <c r="O35" s="26" t="s">
        <v>28</v>
      </c>
      <c r="P35" s="23"/>
      <c r="Q35" s="23"/>
      <c r="R35" s="23"/>
      <c r="S35" s="23"/>
      <c r="T35" s="23"/>
    </row>
    <row r="36" customFormat="false" ht="24.75" hidden="false" customHeight="true" outlineLevel="0" collapsed="false">
      <c r="A36" s="20"/>
      <c r="B36" s="20" t="s">
        <v>66</v>
      </c>
      <c r="C36" s="27" t="s">
        <v>67</v>
      </c>
      <c r="D36" s="22" t="s">
        <v>68</v>
      </c>
      <c r="E36" s="23"/>
      <c r="F36" s="23"/>
      <c r="G36" s="23"/>
      <c r="H36" s="23"/>
      <c r="I36" s="23"/>
      <c r="J36" s="23"/>
      <c r="K36" s="23"/>
      <c r="L36" s="23"/>
      <c r="M36" s="23"/>
      <c r="N36" s="23"/>
      <c r="O36" s="23"/>
      <c r="P36" s="23"/>
      <c r="Q36" s="23"/>
      <c r="R36" s="23"/>
      <c r="S36" s="23"/>
      <c r="T36" s="23"/>
    </row>
    <row r="37" customFormat="false" ht="24.75" hidden="false" customHeight="true" outlineLevel="0" collapsed="false">
      <c r="A37" s="20"/>
      <c r="B37" s="20"/>
      <c r="C37" s="20"/>
      <c r="D37" s="22" t="s">
        <v>69</v>
      </c>
      <c r="E37" s="23"/>
      <c r="F37" s="23"/>
      <c r="G37" s="23"/>
      <c r="H37" s="23"/>
      <c r="I37" s="23"/>
      <c r="J37" s="23"/>
      <c r="K37" s="23"/>
      <c r="L37" s="23"/>
      <c r="M37" s="23"/>
      <c r="N37" s="23"/>
      <c r="O37" s="23"/>
      <c r="P37" s="23"/>
      <c r="Q37" s="23"/>
      <c r="R37" s="23"/>
      <c r="S37" s="23"/>
      <c r="T37" s="23"/>
    </row>
    <row r="38" customFormat="false" ht="24.75" hidden="false" customHeight="true" outlineLevel="0" collapsed="false">
      <c r="A38" s="20"/>
      <c r="B38" s="20"/>
      <c r="C38" s="20"/>
      <c r="D38" s="22" t="s">
        <v>70</v>
      </c>
      <c r="E38" s="23"/>
      <c r="F38" s="23"/>
      <c r="G38" s="23"/>
      <c r="H38" s="23"/>
      <c r="I38" s="23"/>
      <c r="J38" s="23"/>
      <c r="K38" s="23"/>
      <c r="L38" s="23"/>
      <c r="M38" s="23"/>
      <c r="N38" s="23"/>
      <c r="O38" s="23"/>
      <c r="P38" s="23"/>
      <c r="Q38" s="23"/>
      <c r="R38" s="23"/>
      <c r="S38" s="23"/>
      <c r="T38" s="23"/>
    </row>
    <row r="39" customFormat="false" ht="24.75" hidden="false" customHeight="true" outlineLevel="0" collapsed="false">
      <c r="A39" s="20"/>
      <c r="B39" s="20"/>
      <c r="C39" s="20"/>
      <c r="D39" s="22" t="s">
        <v>71</v>
      </c>
      <c r="E39" s="23"/>
      <c r="F39" s="23"/>
      <c r="G39" s="23"/>
      <c r="H39" s="23"/>
      <c r="I39" s="23"/>
      <c r="J39" s="23"/>
      <c r="K39" s="23"/>
      <c r="L39" s="29" t="s">
        <v>27</v>
      </c>
      <c r="M39" s="23"/>
      <c r="N39" s="23"/>
      <c r="O39" s="23"/>
      <c r="P39" s="26" t="s">
        <v>28</v>
      </c>
      <c r="Q39" s="23"/>
      <c r="R39" s="23"/>
      <c r="S39" s="23"/>
      <c r="T39" s="23"/>
    </row>
    <row r="40" customFormat="false" ht="24.75" hidden="false" customHeight="true" outlineLevel="0" collapsed="false">
      <c r="A40" s="19" t="s">
        <v>72</v>
      </c>
      <c r="B40" s="19" t="s">
        <v>73</v>
      </c>
      <c r="C40" s="27" t="s">
        <v>74</v>
      </c>
      <c r="D40" s="22" t="s">
        <v>75</v>
      </c>
      <c r="E40" s="23"/>
      <c r="F40" s="23"/>
      <c r="G40" s="23"/>
      <c r="H40" s="23"/>
      <c r="I40" s="23"/>
      <c r="J40" s="23"/>
      <c r="K40" s="23"/>
      <c r="L40" s="23"/>
      <c r="M40" s="23"/>
      <c r="N40" s="23"/>
      <c r="O40" s="23"/>
      <c r="P40" s="23"/>
      <c r="Q40" s="23"/>
      <c r="R40" s="23"/>
      <c r="S40" s="23"/>
      <c r="T40" s="23"/>
    </row>
    <row r="41" customFormat="false" ht="24.75" hidden="false" customHeight="true" outlineLevel="0" collapsed="false">
      <c r="A41" s="19"/>
      <c r="B41" s="19"/>
      <c r="C41" s="19"/>
      <c r="D41" s="22" t="s">
        <v>76</v>
      </c>
      <c r="E41" s="23"/>
      <c r="F41" s="23"/>
      <c r="G41" s="23"/>
      <c r="H41" s="23"/>
      <c r="I41" s="23"/>
      <c r="J41" s="23"/>
      <c r="K41" s="23"/>
      <c r="L41" s="23"/>
      <c r="M41" s="23"/>
      <c r="N41" s="23"/>
      <c r="O41" s="23"/>
      <c r="P41" s="23"/>
      <c r="Q41" s="23"/>
      <c r="R41" s="23"/>
      <c r="S41" s="23"/>
      <c r="T41" s="23"/>
    </row>
    <row r="42" customFormat="false" ht="24.75" hidden="false" customHeight="true" outlineLevel="0" collapsed="false">
      <c r="A42" s="19"/>
      <c r="B42" s="19"/>
      <c r="C42" s="27"/>
      <c r="D42" s="22" t="s">
        <v>77</v>
      </c>
      <c r="E42" s="23"/>
      <c r="F42" s="23"/>
      <c r="G42" s="23"/>
      <c r="H42" s="23"/>
      <c r="I42" s="23"/>
      <c r="J42" s="23"/>
      <c r="K42" s="23"/>
      <c r="L42" s="23"/>
      <c r="M42" s="23"/>
      <c r="N42" s="29" t="s">
        <v>27</v>
      </c>
      <c r="O42" s="23"/>
      <c r="P42" s="23" t="s">
        <v>28</v>
      </c>
      <c r="Q42" s="26"/>
      <c r="R42" s="23"/>
      <c r="S42" s="23"/>
      <c r="T42" s="23"/>
    </row>
    <row r="43" customFormat="false" ht="24.75" hidden="false" customHeight="true" outlineLevel="0" collapsed="false">
      <c r="A43" s="19"/>
      <c r="B43" s="19"/>
      <c r="C43" s="27" t="s">
        <v>78</v>
      </c>
      <c r="D43" s="22" t="s">
        <v>79</v>
      </c>
      <c r="E43" s="23"/>
      <c r="F43" s="23"/>
      <c r="G43" s="23"/>
      <c r="H43" s="23"/>
      <c r="I43" s="23"/>
      <c r="J43" s="23"/>
      <c r="K43" s="23"/>
      <c r="L43" s="23"/>
      <c r="M43" s="23"/>
      <c r="N43" s="23"/>
      <c r="O43" s="23"/>
      <c r="P43" s="23"/>
      <c r="Q43" s="23"/>
      <c r="R43" s="23"/>
      <c r="S43" s="23"/>
      <c r="T43" s="23"/>
    </row>
    <row r="44" customFormat="false" ht="24.75" hidden="false" customHeight="true" outlineLevel="0" collapsed="false">
      <c r="A44" s="19"/>
      <c r="B44" s="19"/>
      <c r="C44" s="19"/>
      <c r="D44" s="22" t="s">
        <v>80</v>
      </c>
      <c r="E44" s="23"/>
      <c r="F44" s="23"/>
      <c r="G44" s="23"/>
      <c r="H44" s="23"/>
      <c r="I44" s="23"/>
      <c r="J44" s="23"/>
      <c r="K44" s="23"/>
      <c r="L44" s="23"/>
      <c r="M44" s="23"/>
      <c r="N44" s="23"/>
      <c r="O44" s="23"/>
      <c r="P44" s="23"/>
      <c r="Q44" s="23"/>
      <c r="R44" s="23"/>
      <c r="S44" s="23"/>
      <c r="T44" s="23"/>
    </row>
    <row r="45" customFormat="false" ht="24.75" hidden="false" customHeight="true" outlineLevel="0" collapsed="false">
      <c r="A45" s="19"/>
      <c r="B45" s="19"/>
      <c r="C45" s="19"/>
      <c r="D45" s="22" t="s">
        <v>81</v>
      </c>
      <c r="E45" s="23"/>
      <c r="F45" s="23"/>
      <c r="G45" s="23"/>
      <c r="H45" s="23"/>
      <c r="I45" s="23"/>
      <c r="J45" s="23"/>
      <c r="K45" s="23"/>
      <c r="L45" s="23"/>
      <c r="M45" s="23"/>
      <c r="N45" s="23"/>
      <c r="O45" s="29" t="s">
        <v>27</v>
      </c>
      <c r="P45" s="23" t="s">
        <v>28</v>
      </c>
      <c r="Q45" s="23"/>
      <c r="R45" s="23"/>
      <c r="S45" s="26"/>
      <c r="T45" s="23"/>
    </row>
    <row r="47" customFormat="false" ht="16.5" hidden="false" customHeight="true" outlineLevel="0" collapsed="false">
      <c r="B47" s="30" t="s">
        <v>82</v>
      </c>
    </row>
  </sheetData>
  <mergeCells count="30">
    <mergeCell ref="A3:T3"/>
    <mergeCell ref="A4:T4"/>
    <mergeCell ref="A5:A6"/>
    <mergeCell ref="B5:B6"/>
    <mergeCell ref="C5:C6"/>
    <mergeCell ref="D5:D6"/>
    <mergeCell ref="E5:H5"/>
    <mergeCell ref="I5:L5"/>
    <mergeCell ref="M5:P5"/>
    <mergeCell ref="Q5:T5"/>
    <mergeCell ref="A7:A26"/>
    <mergeCell ref="B7:B15"/>
    <mergeCell ref="C7:C10"/>
    <mergeCell ref="C11:C15"/>
    <mergeCell ref="B16:B20"/>
    <mergeCell ref="C16:C20"/>
    <mergeCell ref="B21:B26"/>
    <mergeCell ref="C21:C26"/>
    <mergeCell ref="A27:A39"/>
    <mergeCell ref="B27:B29"/>
    <mergeCell ref="C27:C29"/>
    <mergeCell ref="B30:B35"/>
    <mergeCell ref="C30:C32"/>
    <mergeCell ref="C33:C35"/>
    <mergeCell ref="B36:B39"/>
    <mergeCell ref="C36:C39"/>
    <mergeCell ref="A40:A45"/>
    <mergeCell ref="B40:B45"/>
    <mergeCell ref="C40:C42"/>
    <mergeCell ref="C43:C4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625" defaultRowHeight="16.5" zeroHeight="false" outlineLevelRow="0" outlineLevelCol="0"/>
  <cols>
    <col collapsed="false" customWidth="true" hidden="false" outlineLevel="0" max="2" min="1" style="2" width="24.14"/>
    <col collapsed="false" customWidth="true" hidden="false" outlineLevel="0" max="3" min="3" style="2" width="33.87"/>
    <col collapsed="false" customWidth="true" hidden="false" outlineLevel="0" max="4" min="4" style="2" width="36.04"/>
    <col collapsed="false" customWidth="true" hidden="false" outlineLevel="0" max="5" min="5" style="2" width="37.84"/>
    <col collapsed="false" customWidth="true" hidden="false" outlineLevel="0" max="7" min="6" style="2" width="11.53"/>
    <col collapsed="false" customWidth="true" hidden="false" outlineLevel="0" max="8" min="8" style="2" width="12.43"/>
    <col collapsed="false" customWidth="true" hidden="false" outlineLevel="0" max="9" min="9" style="2" width="19.28"/>
    <col collapsed="false" customWidth="true" hidden="false" outlineLevel="0" max="10" min="10" style="2" width="24.33"/>
    <col collapsed="false" customWidth="true" hidden="false" outlineLevel="0" max="11" min="11" style="2" width="20.36"/>
    <col collapsed="false" customWidth="true" hidden="false" outlineLevel="0" max="12" min="12" style="2" width="15.85"/>
    <col collapsed="false" customWidth="true" hidden="false" outlineLevel="0" max="13" min="13" style="2" width="12.79"/>
    <col collapsed="false" customWidth="true" hidden="false" outlineLevel="0" max="14" min="14" style="2" width="17.84"/>
    <col collapsed="false" customWidth="true" hidden="false" outlineLevel="0" max="15" min="15" style="2" width="17.48"/>
    <col collapsed="false" customWidth="true" hidden="false" outlineLevel="0" max="16" min="16" style="2" width="11.53"/>
    <col collapsed="false" customWidth="false" hidden="false" outlineLevel="0" max="16384" min="17" style="2" width="1.26"/>
  </cols>
  <sheetData>
    <row r="1" s="5" customFormat="true" ht="22.5" hidden="false" customHeight="true" outlineLevel="0" collapsed="false">
      <c r="A1" s="4" t="s">
        <v>83</v>
      </c>
      <c r="B1" s="31"/>
      <c r="D1" s="31"/>
    </row>
    <row r="2" s="32" customFormat="true" ht="13.5" hidden="false" customHeight="true" outlineLevel="0" collapsed="false">
      <c r="B2" s="33"/>
      <c r="D2" s="33"/>
    </row>
    <row r="3" s="36" customFormat="true" ht="13.5" hidden="false" customHeight="true" outlineLevel="0" collapsed="false">
      <c r="A3" s="34" t="s">
        <v>84</v>
      </c>
      <c r="B3" s="35"/>
      <c r="D3" s="35"/>
      <c r="L3" s="37"/>
      <c r="M3" s="37"/>
      <c r="N3" s="37"/>
    </row>
    <row r="4" s="39" customFormat="true" ht="13.5" hidden="false" customHeight="true" outlineLevel="0" collapsed="false">
      <c r="A4" s="38"/>
      <c r="B4" s="38"/>
      <c r="C4" s="38"/>
      <c r="D4" s="38"/>
      <c r="E4" s="38"/>
      <c r="F4" s="38"/>
      <c r="G4" s="38"/>
      <c r="H4" s="38"/>
      <c r="I4" s="38"/>
      <c r="J4" s="38"/>
      <c r="K4" s="38"/>
      <c r="L4" s="38"/>
      <c r="M4" s="38"/>
      <c r="N4" s="38"/>
      <c r="O4" s="38"/>
    </row>
    <row r="5" customFormat="false" ht="16.5" hidden="false" customHeight="true" outlineLevel="0" collapsed="false">
      <c r="A5" s="17" t="s">
        <v>7</v>
      </c>
      <c r="B5" s="17" t="s">
        <v>8</v>
      </c>
      <c r="C5" s="17" t="s">
        <v>85</v>
      </c>
      <c r="D5" s="17" t="s">
        <v>86</v>
      </c>
      <c r="E5" s="17" t="s">
        <v>87</v>
      </c>
      <c r="F5" s="17"/>
      <c r="G5" s="17"/>
      <c r="H5" s="17"/>
      <c r="I5" s="17"/>
      <c r="J5" s="17"/>
      <c r="K5" s="17"/>
      <c r="L5" s="17" t="s">
        <v>88</v>
      </c>
      <c r="M5" s="17" t="s">
        <v>89</v>
      </c>
      <c r="N5" s="17" t="s">
        <v>90</v>
      </c>
      <c r="O5" s="17" t="s">
        <v>91</v>
      </c>
    </row>
    <row r="6" customFormat="false" ht="16.5" hidden="false" customHeight="true" outlineLevel="0" collapsed="false">
      <c r="A6" s="17"/>
      <c r="B6" s="17"/>
      <c r="C6" s="17"/>
      <c r="D6" s="17"/>
      <c r="E6" s="17" t="s">
        <v>92</v>
      </c>
      <c r="F6" s="17" t="s">
        <v>93</v>
      </c>
      <c r="G6" s="17" t="s">
        <v>94</v>
      </c>
      <c r="H6" s="17" t="s">
        <v>95</v>
      </c>
      <c r="I6" s="17" t="s">
        <v>96</v>
      </c>
      <c r="J6" s="17" t="s">
        <v>97</v>
      </c>
      <c r="K6" s="17" t="s">
        <v>98</v>
      </c>
      <c r="L6" s="17"/>
      <c r="M6" s="17"/>
      <c r="N6" s="17"/>
      <c r="O6" s="17"/>
    </row>
    <row r="7" customFormat="false" ht="16.5" hidden="false" customHeight="true" outlineLevel="0" collapsed="false">
      <c r="A7" s="17"/>
      <c r="B7" s="17"/>
      <c r="C7" s="17"/>
      <c r="D7" s="17"/>
      <c r="E7" s="17"/>
      <c r="F7" s="17"/>
      <c r="G7" s="17"/>
      <c r="H7" s="17"/>
      <c r="I7" s="17"/>
      <c r="J7" s="17"/>
      <c r="K7" s="17"/>
      <c r="L7" s="17"/>
      <c r="M7" s="17"/>
      <c r="N7" s="17"/>
      <c r="O7" s="17"/>
    </row>
    <row r="8" customFormat="false" ht="16.5" hidden="false" customHeight="true" outlineLevel="0" collapsed="false">
      <c r="A8" s="40" t="s">
        <v>99</v>
      </c>
      <c r="B8" s="41" t="s">
        <v>100</v>
      </c>
      <c r="C8" s="42" t="s">
        <v>101</v>
      </c>
      <c r="D8" s="43" t="s">
        <v>102</v>
      </c>
      <c r="E8" s="44" t="s">
        <v>103</v>
      </c>
      <c r="F8" s="45" t="s">
        <v>104</v>
      </c>
      <c r="G8" s="46" t="n">
        <v>20</v>
      </c>
      <c r="H8" s="47" t="n">
        <v>500</v>
      </c>
      <c r="I8" s="47" t="n">
        <f aca="false">G8*H8</f>
        <v>10000</v>
      </c>
      <c r="J8" s="48" t="n">
        <f aca="false">SUM(I8:I11)</f>
        <v>150000</v>
      </c>
      <c r="K8" s="49" t="n">
        <f aca="false">SUM(J8:J15)</f>
        <v>270000</v>
      </c>
      <c r="L8" s="50" t="n">
        <f aca="false">SUM(K8:K35)</f>
        <v>660000</v>
      </c>
      <c r="M8" s="51" t="n">
        <f aca="false">((($O$77+$O$78+$O$79+$O$83)*(L8/$L$64))+L8)/$O$86</f>
        <v>0.3</v>
      </c>
      <c r="N8" s="52"/>
      <c r="O8" s="52" t="s">
        <v>105</v>
      </c>
    </row>
    <row r="9" customFormat="false" ht="16.5" hidden="false" customHeight="true" outlineLevel="0" collapsed="false">
      <c r="A9" s="40"/>
      <c r="B9" s="41"/>
      <c r="C9" s="42"/>
      <c r="D9" s="42"/>
      <c r="E9" s="53" t="s">
        <v>106</v>
      </c>
      <c r="F9" s="45" t="s">
        <v>104</v>
      </c>
      <c r="G9" s="46" t="n">
        <v>150</v>
      </c>
      <c r="H9" s="47" t="n">
        <v>350</v>
      </c>
      <c r="I9" s="47" t="n">
        <f aca="false">G9*H9</f>
        <v>52500</v>
      </c>
      <c r="J9" s="48"/>
      <c r="K9" s="48"/>
      <c r="L9" s="48"/>
      <c r="M9" s="51"/>
      <c r="N9" s="52"/>
      <c r="O9" s="52" t="s">
        <v>107</v>
      </c>
    </row>
    <row r="10" customFormat="false" ht="16.5" hidden="false" customHeight="true" outlineLevel="0" collapsed="false">
      <c r="A10" s="40"/>
      <c r="B10" s="41"/>
      <c r="C10" s="42"/>
      <c r="D10" s="42"/>
      <c r="E10" s="44" t="s">
        <v>108</v>
      </c>
      <c r="F10" s="45" t="s">
        <v>109</v>
      </c>
      <c r="G10" s="46" t="n">
        <v>1</v>
      </c>
      <c r="H10" s="47" t="n">
        <v>60500</v>
      </c>
      <c r="I10" s="47" t="n">
        <f aca="false">G10*H10</f>
        <v>60500</v>
      </c>
      <c r="J10" s="48"/>
      <c r="K10" s="48"/>
      <c r="L10" s="48"/>
      <c r="M10" s="51"/>
      <c r="N10" s="52"/>
      <c r="O10" s="52" t="s">
        <v>110</v>
      </c>
    </row>
    <row r="11" customFormat="false" ht="16.5" hidden="false" customHeight="true" outlineLevel="0" collapsed="false">
      <c r="A11" s="40"/>
      <c r="B11" s="41"/>
      <c r="C11" s="42"/>
      <c r="D11" s="42"/>
      <c r="E11" s="44" t="s">
        <v>111</v>
      </c>
      <c r="F11" s="45" t="s">
        <v>112</v>
      </c>
      <c r="G11" s="46" t="n">
        <v>6</v>
      </c>
      <c r="H11" s="47" t="n">
        <v>4500</v>
      </c>
      <c r="I11" s="47" t="n">
        <f aca="false">G11*H11</f>
        <v>27000</v>
      </c>
      <c r="J11" s="48"/>
      <c r="K11" s="49"/>
      <c r="L11" s="49"/>
      <c r="M11" s="51"/>
      <c r="N11" s="52"/>
      <c r="O11" s="52" t="s">
        <v>28</v>
      </c>
    </row>
    <row r="12" customFormat="false" ht="16.5" hidden="false" customHeight="true" outlineLevel="0" collapsed="false">
      <c r="A12" s="40"/>
      <c r="B12" s="41"/>
      <c r="C12" s="54" t="s">
        <v>113</v>
      </c>
      <c r="D12" s="55" t="s">
        <v>114</v>
      </c>
      <c r="E12" s="56" t="s">
        <v>106</v>
      </c>
      <c r="F12" s="57" t="s">
        <v>104</v>
      </c>
      <c r="G12" s="58" t="n">
        <v>100</v>
      </c>
      <c r="H12" s="59" t="n">
        <v>350</v>
      </c>
      <c r="I12" s="59" t="n">
        <f aca="false">G12*H12</f>
        <v>35000</v>
      </c>
      <c r="J12" s="50" t="n">
        <f aca="false">SUM(I12:I15)</f>
        <v>120000</v>
      </c>
      <c r="K12" s="49"/>
      <c r="L12" s="49"/>
      <c r="M12" s="51"/>
      <c r="N12" s="60"/>
      <c r="O12" s="60"/>
    </row>
    <row r="13" customFormat="false" ht="16.5" hidden="false" customHeight="true" outlineLevel="0" collapsed="false">
      <c r="A13" s="40"/>
      <c r="B13" s="41"/>
      <c r="C13" s="54"/>
      <c r="D13" s="54"/>
      <c r="E13" s="56" t="s">
        <v>108</v>
      </c>
      <c r="F13" s="57" t="s">
        <v>109</v>
      </c>
      <c r="G13" s="58" t="n">
        <v>1</v>
      </c>
      <c r="H13" s="59" t="n">
        <v>45000</v>
      </c>
      <c r="I13" s="59" t="n">
        <f aca="false">G13*H13</f>
        <v>45000</v>
      </c>
      <c r="J13" s="50"/>
      <c r="K13" s="50"/>
      <c r="L13" s="50"/>
      <c r="M13" s="51"/>
      <c r="N13" s="60"/>
      <c r="O13" s="60"/>
    </row>
    <row r="14" customFormat="false" ht="16.5" hidden="false" customHeight="true" outlineLevel="0" collapsed="false">
      <c r="A14" s="40"/>
      <c r="B14" s="41"/>
      <c r="C14" s="54"/>
      <c r="D14" s="54"/>
      <c r="E14" s="56" t="s">
        <v>111</v>
      </c>
      <c r="F14" s="57" t="s">
        <v>112</v>
      </c>
      <c r="G14" s="58" t="n">
        <v>6</v>
      </c>
      <c r="H14" s="59" t="n">
        <v>5000</v>
      </c>
      <c r="I14" s="59" t="n">
        <f aca="false">G14*H14</f>
        <v>30000</v>
      </c>
      <c r="J14" s="50"/>
      <c r="K14" s="50"/>
      <c r="L14" s="50"/>
      <c r="M14" s="51"/>
      <c r="N14" s="60"/>
      <c r="O14" s="60"/>
    </row>
    <row r="15" customFormat="false" ht="16.5" hidden="false" customHeight="true" outlineLevel="0" collapsed="false">
      <c r="A15" s="40"/>
      <c r="B15" s="41"/>
      <c r="C15" s="54"/>
      <c r="D15" s="54"/>
      <c r="E15" s="56" t="s">
        <v>115</v>
      </c>
      <c r="F15" s="57" t="s">
        <v>109</v>
      </c>
      <c r="G15" s="58" t="n">
        <v>1</v>
      </c>
      <c r="H15" s="59" t="n">
        <v>10000</v>
      </c>
      <c r="I15" s="59" t="n">
        <f aca="false">G15*H15</f>
        <v>10000</v>
      </c>
      <c r="J15" s="50"/>
      <c r="K15" s="50"/>
      <c r="L15" s="50"/>
      <c r="M15" s="51"/>
      <c r="N15" s="60"/>
      <c r="O15" s="60"/>
    </row>
    <row r="16" customFormat="false" ht="16.5" hidden="false" customHeight="true" outlineLevel="0" collapsed="false">
      <c r="A16" s="40"/>
      <c r="B16" s="41" t="s">
        <v>35</v>
      </c>
      <c r="C16" s="42" t="s">
        <v>116</v>
      </c>
      <c r="D16" s="43" t="s">
        <v>117</v>
      </c>
      <c r="E16" s="44" t="s">
        <v>106</v>
      </c>
      <c r="F16" s="45" t="s">
        <v>104</v>
      </c>
      <c r="G16" s="46" t="n">
        <v>50</v>
      </c>
      <c r="H16" s="47" t="n">
        <v>350</v>
      </c>
      <c r="I16" s="47" t="n">
        <f aca="false">G16*H16</f>
        <v>17500</v>
      </c>
      <c r="J16" s="48" t="n">
        <f aca="false">SUM(I16:I19)</f>
        <v>30000</v>
      </c>
      <c r="K16" s="49" t="n">
        <f aca="false">SUM(J16:J31)</f>
        <v>190000</v>
      </c>
      <c r="L16" s="50"/>
      <c r="M16" s="51"/>
      <c r="N16" s="60"/>
      <c r="O16" s="60"/>
    </row>
    <row r="17" customFormat="false" ht="16.5" hidden="false" customHeight="true" outlineLevel="0" collapsed="false">
      <c r="A17" s="40"/>
      <c r="B17" s="41"/>
      <c r="C17" s="42"/>
      <c r="D17" s="43"/>
      <c r="E17" s="53" t="s">
        <v>108</v>
      </c>
      <c r="F17" s="45" t="s">
        <v>109</v>
      </c>
      <c r="G17" s="46" t="n">
        <v>1</v>
      </c>
      <c r="H17" s="47" t="n">
        <v>8000</v>
      </c>
      <c r="I17" s="47" t="n">
        <f aca="false">G17*H17</f>
        <v>8000</v>
      </c>
      <c r="J17" s="48"/>
      <c r="K17" s="48"/>
      <c r="L17" s="48"/>
      <c r="M17" s="51"/>
      <c r="N17" s="60"/>
      <c r="O17" s="60"/>
    </row>
    <row r="18" customFormat="false" ht="16.5" hidden="false" customHeight="true" outlineLevel="0" collapsed="false">
      <c r="A18" s="40"/>
      <c r="B18" s="41"/>
      <c r="C18" s="42"/>
      <c r="D18" s="43"/>
      <c r="E18" s="44" t="s">
        <v>111</v>
      </c>
      <c r="F18" s="45" t="s">
        <v>112</v>
      </c>
      <c r="G18" s="46" t="n">
        <v>1</v>
      </c>
      <c r="H18" s="47" t="n">
        <v>3000</v>
      </c>
      <c r="I18" s="47" t="n">
        <f aca="false">G18*H18</f>
        <v>3000</v>
      </c>
      <c r="J18" s="48"/>
      <c r="K18" s="48"/>
      <c r="L18" s="48"/>
      <c r="M18" s="51"/>
      <c r="N18" s="60"/>
      <c r="O18" s="60"/>
    </row>
    <row r="19" customFormat="false" ht="16.5" hidden="false" customHeight="true" outlineLevel="0" collapsed="false">
      <c r="A19" s="40"/>
      <c r="B19" s="41"/>
      <c r="C19" s="42"/>
      <c r="D19" s="43"/>
      <c r="E19" s="44" t="s">
        <v>118</v>
      </c>
      <c r="F19" s="45" t="s">
        <v>109</v>
      </c>
      <c r="G19" s="46" t="n">
        <v>1</v>
      </c>
      <c r="H19" s="47" t="n">
        <v>1500</v>
      </c>
      <c r="I19" s="47" t="n">
        <f aca="false">G19*H19</f>
        <v>1500</v>
      </c>
      <c r="J19" s="48"/>
      <c r="K19" s="49"/>
      <c r="L19" s="49"/>
      <c r="M19" s="51"/>
      <c r="N19" s="60"/>
      <c r="O19" s="60"/>
    </row>
    <row r="20" customFormat="false" ht="16.5" hidden="false" customHeight="true" outlineLevel="0" collapsed="false">
      <c r="A20" s="40"/>
      <c r="B20" s="41"/>
      <c r="C20" s="61" t="s">
        <v>119</v>
      </c>
      <c r="D20" s="55" t="s">
        <v>120</v>
      </c>
      <c r="E20" s="62" t="s">
        <v>103</v>
      </c>
      <c r="F20" s="63" t="s">
        <v>104</v>
      </c>
      <c r="G20" s="64" t="n">
        <v>15</v>
      </c>
      <c r="H20" s="65" t="n">
        <v>500</v>
      </c>
      <c r="I20" s="65" t="n">
        <f aca="false">G20*H20</f>
        <v>7500</v>
      </c>
      <c r="J20" s="49" t="n">
        <f aca="false">SUM(I20:I23)</f>
        <v>45000</v>
      </c>
      <c r="K20" s="49"/>
      <c r="L20" s="49"/>
      <c r="M20" s="51"/>
      <c r="N20" s="60"/>
      <c r="O20" s="60"/>
    </row>
    <row r="21" customFormat="false" ht="16.5" hidden="false" customHeight="true" outlineLevel="0" collapsed="false">
      <c r="A21" s="40"/>
      <c r="B21" s="41"/>
      <c r="C21" s="61"/>
      <c r="D21" s="55"/>
      <c r="E21" s="62" t="s">
        <v>106</v>
      </c>
      <c r="F21" s="63" t="s">
        <v>104</v>
      </c>
      <c r="G21" s="64" t="n">
        <v>60</v>
      </c>
      <c r="H21" s="65" t="n">
        <v>350</v>
      </c>
      <c r="I21" s="65" t="n">
        <f aca="false">G21*H21</f>
        <v>21000</v>
      </c>
      <c r="J21" s="49"/>
      <c r="K21" s="49"/>
      <c r="L21" s="49"/>
      <c r="M21" s="51"/>
      <c r="N21" s="60"/>
      <c r="O21" s="60"/>
    </row>
    <row r="22" customFormat="false" ht="16.5" hidden="false" customHeight="true" outlineLevel="0" collapsed="false">
      <c r="A22" s="40"/>
      <c r="B22" s="41"/>
      <c r="C22" s="61"/>
      <c r="D22" s="55"/>
      <c r="E22" s="62" t="s">
        <v>108</v>
      </c>
      <c r="F22" s="63" t="s">
        <v>109</v>
      </c>
      <c r="G22" s="64" t="n">
        <v>1</v>
      </c>
      <c r="H22" s="65" t="n">
        <v>11500</v>
      </c>
      <c r="I22" s="65" t="n">
        <f aca="false">G22*H22</f>
        <v>11500</v>
      </c>
      <c r="J22" s="49"/>
      <c r="K22" s="49"/>
      <c r="L22" s="49"/>
      <c r="M22" s="51"/>
      <c r="N22" s="60"/>
      <c r="O22" s="60"/>
    </row>
    <row r="23" customFormat="false" ht="16.5" hidden="false" customHeight="true" outlineLevel="0" collapsed="false">
      <c r="A23" s="40"/>
      <c r="B23" s="41"/>
      <c r="C23" s="61"/>
      <c r="D23" s="55"/>
      <c r="E23" s="62" t="s">
        <v>111</v>
      </c>
      <c r="F23" s="63" t="s">
        <v>112</v>
      </c>
      <c r="G23" s="64" t="n">
        <v>1</v>
      </c>
      <c r="H23" s="65" t="n">
        <v>5000</v>
      </c>
      <c r="I23" s="65" t="n">
        <f aca="false">G23*H23</f>
        <v>5000</v>
      </c>
      <c r="J23" s="49"/>
      <c r="K23" s="49"/>
      <c r="L23" s="49"/>
      <c r="M23" s="51"/>
      <c r="N23" s="60"/>
      <c r="O23" s="60"/>
    </row>
    <row r="24" customFormat="false" ht="16.5" hidden="false" customHeight="true" outlineLevel="0" collapsed="false">
      <c r="A24" s="40"/>
      <c r="B24" s="41"/>
      <c r="C24" s="42" t="s">
        <v>121</v>
      </c>
      <c r="D24" s="43" t="s">
        <v>122</v>
      </c>
      <c r="E24" s="44" t="s">
        <v>106</v>
      </c>
      <c r="F24" s="45" t="s">
        <v>104</v>
      </c>
      <c r="G24" s="46" t="n">
        <v>40</v>
      </c>
      <c r="H24" s="47" t="n">
        <v>350</v>
      </c>
      <c r="I24" s="47" t="n">
        <f aca="false">G24*H24</f>
        <v>14000</v>
      </c>
      <c r="J24" s="48" t="n">
        <f aca="false">SUM(I24:I27)</f>
        <v>25000</v>
      </c>
      <c r="K24" s="49"/>
      <c r="L24" s="49"/>
      <c r="M24" s="51"/>
      <c r="N24" s="60"/>
      <c r="O24" s="60"/>
    </row>
    <row r="25" customFormat="false" ht="16.5" hidden="false" customHeight="true" outlineLevel="0" collapsed="false">
      <c r="A25" s="40"/>
      <c r="B25" s="41"/>
      <c r="C25" s="42"/>
      <c r="D25" s="43"/>
      <c r="E25" s="53" t="s">
        <v>108</v>
      </c>
      <c r="F25" s="45" t="s">
        <v>109</v>
      </c>
      <c r="G25" s="46" t="n">
        <v>1</v>
      </c>
      <c r="H25" s="47" t="n">
        <v>7000</v>
      </c>
      <c r="I25" s="47" t="n">
        <f aca="false">G25*H25</f>
        <v>7000</v>
      </c>
      <c r="J25" s="48"/>
      <c r="K25" s="48"/>
      <c r="L25" s="48"/>
      <c r="M25" s="51"/>
      <c r="N25" s="60"/>
      <c r="O25" s="60"/>
    </row>
    <row r="26" customFormat="false" ht="16.5" hidden="false" customHeight="true" outlineLevel="0" collapsed="false">
      <c r="A26" s="40"/>
      <c r="B26" s="41"/>
      <c r="C26" s="42"/>
      <c r="D26" s="43"/>
      <c r="E26" s="44" t="s">
        <v>111</v>
      </c>
      <c r="F26" s="45" t="s">
        <v>112</v>
      </c>
      <c r="G26" s="46" t="n">
        <v>1</v>
      </c>
      <c r="H26" s="47" t="n">
        <v>2500</v>
      </c>
      <c r="I26" s="47" t="n">
        <f aca="false">G26*H26</f>
        <v>2500</v>
      </c>
      <c r="J26" s="48"/>
      <c r="K26" s="48"/>
      <c r="L26" s="48"/>
      <c r="M26" s="51"/>
      <c r="N26" s="60"/>
      <c r="O26" s="60"/>
    </row>
    <row r="27" customFormat="false" ht="16.5" hidden="false" customHeight="true" outlineLevel="0" collapsed="false">
      <c r="A27" s="40"/>
      <c r="B27" s="41"/>
      <c r="C27" s="42"/>
      <c r="D27" s="43"/>
      <c r="E27" s="44" t="s">
        <v>118</v>
      </c>
      <c r="F27" s="45" t="s">
        <v>109</v>
      </c>
      <c r="G27" s="46" t="n">
        <v>1</v>
      </c>
      <c r="H27" s="47" t="n">
        <v>1500</v>
      </c>
      <c r="I27" s="47" t="n">
        <f aca="false">G27*H27</f>
        <v>1500</v>
      </c>
      <c r="J27" s="48"/>
      <c r="K27" s="49"/>
      <c r="L27" s="49"/>
      <c r="M27" s="51"/>
      <c r="N27" s="60"/>
      <c r="O27" s="60"/>
    </row>
    <row r="28" customFormat="false" ht="16.5" hidden="false" customHeight="true" outlineLevel="0" collapsed="false">
      <c r="A28" s="40"/>
      <c r="B28" s="41"/>
      <c r="C28" s="61" t="s">
        <v>123</v>
      </c>
      <c r="D28" s="55" t="s">
        <v>124</v>
      </c>
      <c r="E28" s="62" t="s">
        <v>103</v>
      </c>
      <c r="F28" s="63" t="s">
        <v>104</v>
      </c>
      <c r="G28" s="64" t="n">
        <v>40</v>
      </c>
      <c r="H28" s="65" t="n">
        <v>500</v>
      </c>
      <c r="I28" s="65" t="n">
        <f aca="false">G28*H28</f>
        <v>20000</v>
      </c>
      <c r="J28" s="49" t="n">
        <f aca="false">SUM(I28:I31)</f>
        <v>90000</v>
      </c>
      <c r="K28" s="49"/>
      <c r="L28" s="49"/>
      <c r="M28" s="51"/>
      <c r="N28" s="60"/>
      <c r="O28" s="60"/>
    </row>
    <row r="29" customFormat="false" ht="16.5" hidden="false" customHeight="true" outlineLevel="0" collapsed="false">
      <c r="A29" s="40"/>
      <c r="B29" s="41"/>
      <c r="C29" s="61"/>
      <c r="D29" s="55"/>
      <c r="E29" s="62" t="s">
        <v>106</v>
      </c>
      <c r="F29" s="63" t="s">
        <v>104</v>
      </c>
      <c r="G29" s="64" t="n">
        <v>80</v>
      </c>
      <c r="H29" s="65" t="n">
        <v>350</v>
      </c>
      <c r="I29" s="65" t="n">
        <f aca="false">G29*H29</f>
        <v>28000</v>
      </c>
      <c r="J29" s="49"/>
      <c r="K29" s="49"/>
      <c r="L29" s="49"/>
      <c r="M29" s="51"/>
      <c r="N29" s="60"/>
      <c r="O29" s="60"/>
    </row>
    <row r="30" customFormat="false" ht="16.5" hidden="false" customHeight="true" outlineLevel="0" collapsed="false">
      <c r="A30" s="40"/>
      <c r="B30" s="41"/>
      <c r="C30" s="61"/>
      <c r="D30" s="55"/>
      <c r="E30" s="62" t="s">
        <v>111</v>
      </c>
      <c r="F30" s="63" t="s">
        <v>112</v>
      </c>
      <c r="G30" s="64" t="n">
        <v>3</v>
      </c>
      <c r="H30" s="65" t="n">
        <v>10000</v>
      </c>
      <c r="I30" s="65" t="n">
        <f aca="false">G30*H30</f>
        <v>30000</v>
      </c>
      <c r="J30" s="49"/>
      <c r="K30" s="49"/>
      <c r="L30" s="49"/>
      <c r="M30" s="51"/>
      <c r="N30" s="60"/>
      <c r="O30" s="60"/>
    </row>
    <row r="31" customFormat="false" ht="16.5" hidden="false" customHeight="true" outlineLevel="0" collapsed="false">
      <c r="A31" s="40"/>
      <c r="B31" s="41"/>
      <c r="C31" s="61"/>
      <c r="D31" s="55"/>
      <c r="E31" s="62" t="s">
        <v>118</v>
      </c>
      <c r="F31" s="63" t="s">
        <v>109</v>
      </c>
      <c r="G31" s="64" t="n">
        <v>1</v>
      </c>
      <c r="H31" s="65" t="n">
        <v>12000</v>
      </c>
      <c r="I31" s="65" t="n">
        <f aca="false">G31*H31</f>
        <v>12000</v>
      </c>
      <c r="J31" s="49"/>
      <c r="K31" s="49"/>
      <c r="L31" s="50"/>
      <c r="M31" s="51"/>
      <c r="N31" s="60"/>
      <c r="O31" s="60"/>
    </row>
    <row r="32" customFormat="false" ht="16.5" hidden="false" customHeight="true" outlineLevel="0" collapsed="false">
      <c r="A32" s="40"/>
      <c r="B32" s="66" t="s">
        <v>125</v>
      </c>
      <c r="C32" s="40" t="s">
        <v>126</v>
      </c>
      <c r="D32" s="67" t="s">
        <v>127</v>
      </c>
      <c r="E32" s="44" t="s">
        <v>103</v>
      </c>
      <c r="F32" s="45" t="s">
        <v>104</v>
      </c>
      <c r="G32" s="46" t="n">
        <v>80</v>
      </c>
      <c r="H32" s="47" t="n">
        <v>500</v>
      </c>
      <c r="I32" s="47" t="n">
        <f aca="false">G32*H32</f>
        <v>40000</v>
      </c>
      <c r="J32" s="48" t="n">
        <f aca="false">SUM(I32:I35)</f>
        <v>200000</v>
      </c>
      <c r="K32" s="49" t="n">
        <f aca="false">SUM(J32)</f>
        <v>200000</v>
      </c>
      <c r="L32" s="50"/>
      <c r="M32" s="51"/>
      <c r="N32" s="60"/>
      <c r="O32" s="60"/>
    </row>
    <row r="33" customFormat="false" ht="16.5" hidden="false" customHeight="true" outlineLevel="0" collapsed="false">
      <c r="A33" s="40"/>
      <c r="B33" s="66"/>
      <c r="C33" s="40"/>
      <c r="D33" s="40"/>
      <c r="E33" s="53" t="s">
        <v>106</v>
      </c>
      <c r="F33" s="45" t="s">
        <v>104</v>
      </c>
      <c r="G33" s="46" t="n">
        <v>120</v>
      </c>
      <c r="H33" s="47" t="n">
        <v>350</v>
      </c>
      <c r="I33" s="47" t="n">
        <f aca="false">G33*H33</f>
        <v>42000</v>
      </c>
      <c r="J33" s="48"/>
      <c r="K33" s="48"/>
      <c r="L33" s="48"/>
      <c r="M33" s="51"/>
      <c r="N33" s="60"/>
      <c r="O33" s="60"/>
    </row>
    <row r="34" customFormat="false" ht="16.5" hidden="false" customHeight="true" outlineLevel="0" collapsed="false">
      <c r="A34" s="40"/>
      <c r="B34" s="66"/>
      <c r="C34" s="40"/>
      <c r="D34" s="40"/>
      <c r="E34" s="44" t="s">
        <v>108</v>
      </c>
      <c r="F34" s="45" t="s">
        <v>109</v>
      </c>
      <c r="G34" s="46" t="n">
        <v>1</v>
      </c>
      <c r="H34" s="47" t="n">
        <v>100000</v>
      </c>
      <c r="I34" s="47" t="n">
        <f aca="false">G34*H34</f>
        <v>100000</v>
      </c>
      <c r="J34" s="48"/>
      <c r="K34" s="48"/>
      <c r="L34" s="48"/>
      <c r="M34" s="51"/>
      <c r="N34" s="60"/>
      <c r="O34" s="60"/>
    </row>
    <row r="35" customFormat="false" ht="17.25" hidden="false" customHeight="true" outlineLevel="0" collapsed="false">
      <c r="A35" s="40"/>
      <c r="B35" s="66"/>
      <c r="C35" s="40"/>
      <c r="D35" s="67"/>
      <c r="E35" s="68" t="s">
        <v>111</v>
      </c>
      <c r="F35" s="69" t="s">
        <v>112</v>
      </c>
      <c r="G35" s="70" t="n">
        <v>4</v>
      </c>
      <c r="H35" s="71" t="n">
        <v>4500</v>
      </c>
      <c r="I35" s="71" t="n">
        <f aca="false">G35*H35</f>
        <v>18000</v>
      </c>
      <c r="J35" s="48"/>
      <c r="K35" s="48"/>
      <c r="L35" s="48"/>
      <c r="M35" s="51"/>
      <c r="N35" s="72"/>
      <c r="O35" s="72"/>
    </row>
    <row r="36" customFormat="false" ht="16.5" hidden="false" customHeight="true" outlineLevel="0" collapsed="false">
      <c r="A36" s="73" t="s">
        <v>128</v>
      </c>
      <c r="B36" s="74" t="s">
        <v>129</v>
      </c>
      <c r="C36" s="75" t="s">
        <v>130</v>
      </c>
      <c r="D36" s="76"/>
      <c r="E36" s="77"/>
      <c r="F36" s="78"/>
      <c r="G36" s="79"/>
      <c r="H36" s="80"/>
      <c r="I36" s="80"/>
      <c r="J36" s="81" t="n">
        <f aca="false">SUM(I36:I39)</f>
        <v>0</v>
      </c>
      <c r="K36" s="81" t="n">
        <f aca="false">SUM(J36)</f>
        <v>0</v>
      </c>
      <c r="L36" s="82" t="n">
        <f aca="false">SUM(J36:J51)</f>
        <v>1320000</v>
      </c>
      <c r="M36" s="83" t="n">
        <f aca="false">((($O$77+$O$78+$O$79+$O$83)*(L36/$L$64))+L36)/$O$86</f>
        <v>0.6</v>
      </c>
      <c r="N36" s="84"/>
      <c r="O36" s="84" t="s">
        <v>131</v>
      </c>
    </row>
    <row r="37" customFormat="false" ht="16.5" hidden="false" customHeight="true" outlineLevel="0" collapsed="false">
      <c r="A37" s="73"/>
      <c r="B37" s="73"/>
      <c r="C37" s="73"/>
      <c r="D37" s="73"/>
      <c r="E37" s="62"/>
      <c r="F37" s="63"/>
      <c r="G37" s="64"/>
      <c r="H37" s="65"/>
      <c r="I37" s="65"/>
      <c r="J37" s="81"/>
      <c r="K37" s="81"/>
      <c r="L37" s="81"/>
      <c r="M37" s="81"/>
      <c r="N37" s="60"/>
      <c r="O37" s="60"/>
    </row>
    <row r="38" customFormat="false" ht="16.5" hidden="false" customHeight="true" outlineLevel="0" collapsed="false">
      <c r="A38" s="73"/>
      <c r="B38" s="73"/>
      <c r="C38" s="73"/>
      <c r="D38" s="73"/>
      <c r="E38" s="62"/>
      <c r="F38" s="63"/>
      <c r="G38" s="64"/>
      <c r="H38" s="65"/>
      <c r="I38" s="65"/>
      <c r="J38" s="81"/>
      <c r="K38" s="81"/>
      <c r="L38" s="81"/>
      <c r="M38" s="81"/>
      <c r="N38" s="60"/>
      <c r="O38" s="60"/>
    </row>
    <row r="39" customFormat="false" ht="16.5" hidden="false" customHeight="true" outlineLevel="0" collapsed="false">
      <c r="A39" s="73"/>
      <c r="B39" s="74"/>
      <c r="C39" s="74"/>
      <c r="D39" s="76"/>
      <c r="E39" s="62"/>
      <c r="F39" s="63"/>
      <c r="G39" s="64"/>
      <c r="H39" s="65"/>
      <c r="I39" s="65"/>
      <c r="J39" s="81"/>
      <c r="K39" s="81"/>
      <c r="L39" s="82"/>
      <c r="M39" s="82"/>
      <c r="N39" s="60"/>
      <c r="O39" s="60"/>
    </row>
    <row r="40" customFormat="false" ht="16.5" hidden="false" customHeight="true" outlineLevel="0" collapsed="false">
      <c r="A40" s="73"/>
      <c r="B40" s="85" t="s">
        <v>132</v>
      </c>
      <c r="C40" s="41" t="s">
        <v>133</v>
      </c>
      <c r="D40" s="86" t="s">
        <v>134</v>
      </c>
      <c r="E40" s="44" t="s">
        <v>108</v>
      </c>
      <c r="F40" s="45" t="s">
        <v>109</v>
      </c>
      <c r="G40" s="46" t="n">
        <v>5</v>
      </c>
      <c r="H40" s="47" t="n">
        <v>30000</v>
      </c>
      <c r="I40" s="47" t="n">
        <f aca="false">+G40*H40</f>
        <v>150000</v>
      </c>
      <c r="J40" s="48" t="n">
        <f aca="false">SUM(I40:I43)</f>
        <v>228000</v>
      </c>
      <c r="K40" s="50" t="n">
        <f aca="false">SUM(J40:J47)</f>
        <v>928000</v>
      </c>
      <c r="L40" s="82"/>
      <c r="M40" s="82"/>
      <c r="N40" s="60"/>
      <c r="O40" s="60"/>
    </row>
    <row r="41" customFormat="false" ht="16.5" hidden="false" customHeight="true" outlineLevel="0" collapsed="false">
      <c r="A41" s="73"/>
      <c r="B41" s="85"/>
      <c r="C41" s="41"/>
      <c r="D41" s="86"/>
      <c r="E41" s="53" t="s">
        <v>103</v>
      </c>
      <c r="F41" s="45" t="s">
        <v>104</v>
      </c>
      <c r="G41" s="46" t="n">
        <v>40</v>
      </c>
      <c r="H41" s="47" t="n">
        <v>500</v>
      </c>
      <c r="I41" s="47" t="n">
        <f aca="false">+G41*H41</f>
        <v>20000</v>
      </c>
      <c r="J41" s="48"/>
      <c r="K41" s="48"/>
      <c r="L41" s="82"/>
      <c r="M41" s="82"/>
      <c r="N41" s="60"/>
      <c r="O41" s="60"/>
    </row>
    <row r="42" customFormat="false" ht="16.5" hidden="false" customHeight="true" outlineLevel="0" collapsed="false">
      <c r="A42" s="73"/>
      <c r="B42" s="85"/>
      <c r="C42" s="41"/>
      <c r="D42" s="86"/>
      <c r="E42" s="44" t="s">
        <v>106</v>
      </c>
      <c r="F42" s="45" t="s">
        <v>104</v>
      </c>
      <c r="G42" s="46" t="n">
        <v>80</v>
      </c>
      <c r="H42" s="47" t="n">
        <v>350</v>
      </c>
      <c r="I42" s="47" t="n">
        <f aca="false">+G42*H42</f>
        <v>28000</v>
      </c>
      <c r="J42" s="48"/>
      <c r="K42" s="48"/>
      <c r="L42" s="82"/>
      <c r="M42" s="82"/>
      <c r="N42" s="60"/>
      <c r="O42" s="60"/>
    </row>
    <row r="43" customFormat="false" ht="16.5" hidden="false" customHeight="true" outlineLevel="0" collapsed="false">
      <c r="A43" s="73"/>
      <c r="B43" s="85"/>
      <c r="C43" s="41"/>
      <c r="D43" s="86"/>
      <c r="E43" s="44" t="s">
        <v>135</v>
      </c>
      <c r="F43" s="45" t="s">
        <v>109</v>
      </c>
      <c r="G43" s="46" t="n">
        <v>3</v>
      </c>
      <c r="H43" s="47" t="n">
        <v>10000</v>
      </c>
      <c r="I43" s="47" t="n">
        <f aca="false">+G43*H43</f>
        <v>30000</v>
      </c>
      <c r="J43" s="48"/>
      <c r="K43" s="50"/>
      <c r="L43" s="82"/>
      <c r="M43" s="82"/>
      <c r="N43" s="60"/>
      <c r="O43" s="60"/>
    </row>
    <row r="44" customFormat="false" ht="16.5" hidden="false" customHeight="true" outlineLevel="0" collapsed="false">
      <c r="A44" s="73"/>
      <c r="B44" s="85"/>
      <c r="C44" s="87" t="s">
        <v>136</v>
      </c>
      <c r="D44" s="88" t="s">
        <v>137</v>
      </c>
      <c r="E44" s="56" t="s">
        <v>108</v>
      </c>
      <c r="F44" s="57" t="s">
        <v>138</v>
      </c>
      <c r="G44" s="58" t="n">
        <v>3</v>
      </c>
      <c r="H44" s="59" t="n">
        <v>170000</v>
      </c>
      <c r="I44" s="47" t="n">
        <f aca="false">+G44*H44</f>
        <v>510000</v>
      </c>
      <c r="J44" s="50" t="n">
        <f aca="false">SUM(I44:I47)</f>
        <v>700000</v>
      </c>
      <c r="K44" s="50"/>
      <c r="L44" s="82"/>
      <c r="M44" s="82"/>
      <c r="N44" s="60"/>
      <c r="O44" s="60"/>
    </row>
    <row r="45" customFormat="false" ht="16.5" hidden="false" customHeight="true" outlineLevel="0" collapsed="false">
      <c r="A45" s="73"/>
      <c r="B45" s="85"/>
      <c r="C45" s="87"/>
      <c r="D45" s="88"/>
      <c r="E45" s="56" t="s">
        <v>103</v>
      </c>
      <c r="F45" s="57" t="s">
        <v>104</v>
      </c>
      <c r="G45" s="58" t="n">
        <v>240</v>
      </c>
      <c r="H45" s="59" t="n">
        <v>500</v>
      </c>
      <c r="I45" s="59" t="n">
        <f aca="false">+G45*H45</f>
        <v>120000</v>
      </c>
      <c r="J45" s="50"/>
      <c r="K45" s="50"/>
      <c r="L45" s="82"/>
      <c r="M45" s="82"/>
      <c r="N45" s="60"/>
      <c r="O45" s="60"/>
    </row>
    <row r="46" customFormat="false" ht="16.5" hidden="false" customHeight="true" outlineLevel="0" collapsed="false">
      <c r="A46" s="73"/>
      <c r="B46" s="85"/>
      <c r="C46" s="87"/>
      <c r="D46" s="88"/>
      <c r="E46" s="56" t="s">
        <v>106</v>
      </c>
      <c r="F46" s="57" t="s">
        <v>104</v>
      </c>
      <c r="G46" s="58" t="n">
        <v>170</v>
      </c>
      <c r="H46" s="59" t="n">
        <v>350</v>
      </c>
      <c r="I46" s="59" t="n">
        <f aca="false">+G46*H46</f>
        <v>59500</v>
      </c>
      <c r="J46" s="50"/>
      <c r="K46" s="50"/>
      <c r="L46" s="82"/>
      <c r="M46" s="82"/>
      <c r="N46" s="60"/>
      <c r="O46" s="60"/>
    </row>
    <row r="47" customFormat="false" ht="16.5" hidden="false" customHeight="true" outlineLevel="0" collapsed="false">
      <c r="A47" s="73"/>
      <c r="B47" s="85"/>
      <c r="C47" s="87"/>
      <c r="D47" s="88"/>
      <c r="E47" s="56" t="s">
        <v>135</v>
      </c>
      <c r="F47" s="57" t="s">
        <v>109</v>
      </c>
      <c r="G47" s="58" t="n">
        <v>1</v>
      </c>
      <c r="H47" s="59" t="n">
        <v>10500</v>
      </c>
      <c r="I47" s="59" t="n">
        <f aca="false">+G47*H47</f>
        <v>10500</v>
      </c>
      <c r="J47" s="50"/>
      <c r="K47" s="50"/>
      <c r="L47" s="82"/>
      <c r="M47" s="82"/>
      <c r="N47" s="60"/>
      <c r="O47" s="60"/>
    </row>
    <row r="48" customFormat="false" ht="16.5" hidden="false" customHeight="true" outlineLevel="0" collapsed="false">
      <c r="A48" s="73"/>
      <c r="B48" s="85" t="s">
        <v>66</v>
      </c>
      <c r="C48" s="89" t="s">
        <v>139</v>
      </c>
      <c r="D48" s="90" t="s">
        <v>140</v>
      </c>
      <c r="E48" s="44" t="s">
        <v>106</v>
      </c>
      <c r="F48" s="45" t="s">
        <v>104</v>
      </c>
      <c r="G48" s="46" t="n">
        <v>200</v>
      </c>
      <c r="H48" s="47" t="n">
        <v>350</v>
      </c>
      <c r="I48" s="47" t="n">
        <f aca="false">+G48*H48</f>
        <v>70000</v>
      </c>
      <c r="J48" s="48" t="n">
        <f aca="false">SUM(I48:I51)</f>
        <v>392000</v>
      </c>
      <c r="K48" s="50" t="n">
        <f aca="false">SUM(J48)</f>
        <v>392000</v>
      </c>
      <c r="L48" s="82"/>
      <c r="M48" s="82"/>
      <c r="N48" s="60"/>
      <c r="O48" s="60"/>
    </row>
    <row r="49" customFormat="false" ht="16.5" hidden="false" customHeight="true" outlineLevel="0" collapsed="false">
      <c r="A49" s="73"/>
      <c r="B49" s="85"/>
      <c r="C49" s="89"/>
      <c r="D49" s="89"/>
      <c r="E49" s="53" t="s">
        <v>108</v>
      </c>
      <c r="F49" s="45" t="s">
        <v>109</v>
      </c>
      <c r="G49" s="46" t="n">
        <v>1</v>
      </c>
      <c r="H49" s="47" t="n">
        <v>268000</v>
      </c>
      <c r="I49" s="47" t="n">
        <f aca="false">+G49*H49</f>
        <v>268000</v>
      </c>
      <c r="J49" s="48"/>
      <c r="K49" s="48"/>
      <c r="L49" s="82"/>
      <c r="M49" s="82"/>
      <c r="N49" s="60"/>
      <c r="O49" s="60"/>
    </row>
    <row r="50" customFormat="false" ht="16.5" hidden="false" customHeight="true" outlineLevel="0" collapsed="false">
      <c r="A50" s="73"/>
      <c r="B50" s="85"/>
      <c r="C50" s="89"/>
      <c r="D50" s="89"/>
      <c r="E50" s="44" t="s">
        <v>141</v>
      </c>
      <c r="F50" s="45" t="s">
        <v>104</v>
      </c>
      <c r="G50" s="46" t="n">
        <v>8</v>
      </c>
      <c r="H50" s="47" t="n">
        <v>3000</v>
      </c>
      <c r="I50" s="47" t="n">
        <f aca="false">+G50*H50</f>
        <v>24000</v>
      </c>
      <c r="J50" s="48"/>
      <c r="K50" s="48"/>
      <c r="L50" s="82"/>
      <c r="M50" s="82"/>
      <c r="N50" s="60"/>
      <c r="O50" s="60"/>
    </row>
    <row r="51" customFormat="false" ht="17.25" hidden="false" customHeight="true" outlineLevel="0" collapsed="false">
      <c r="A51" s="73"/>
      <c r="B51" s="85"/>
      <c r="C51" s="89"/>
      <c r="D51" s="89"/>
      <c r="E51" s="91" t="s">
        <v>135</v>
      </c>
      <c r="F51" s="92" t="s">
        <v>109</v>
      </c>
      <c r="G51" s="93" t="n">
        <v>1</v>
      </c>
      <c r="H51" s="94" t="n">
        <v>30000</v>
      </c>
      <c r="I51" s="94" t="n">
        <f aca="false">+G51*H51</f>
        <v>30000</v>
      </c>
      <c r="J51" s="48"/>
      <c r="K51" s="48"/>
      <c r="L51" s="82"/>
      <c r="M51" s="83"/>
      <c r="N51" s="95"/>
      <c r="O51" s="95"/>
    </row>
    <row r="52" customFormat="false" ht="16.5" hidden="false" customHeight="true" outlineLevel="0" collapsed="false">
      <c r="A52" s="74" t="s">
        <v>142</v>
      </c>
      <c r="B52" s="96" t="s">
        <v>73</v>
      </c>
      <c r="C52" s="97" t="s">
        <v>143</v>
      </c>
      <c r="D52" s="98" t="s">
        <v>144</v>
      </c>
      <c r="E52" s="99" t="s">
        <v>108</v>
      </c>
      <c r="F52" s="100" t="s">
        <v>109</v>
      </c>
      <c r="G52" s="101" t="n">
        <v>1</v>
      </c>
      <c r="H52" s="102" t="n">
        <v>65000</v>
      </c>
      <c r="I52" s="102" t="n">
        <f aca="false">+G52*H52</f>
        <v>65000</v>
      </c>
      <c r="J52" s="82" t="n">
        <f aca="false">SUM(I52:I55)</f>
        <v>110000</v>
      </c>
      <c r="K52" s="82" t="n">
        <f aca="false">SUM(J52:J59)</f>
        <v>175000</v>
      </c>
      <c r="L52" s="82" t="n">
        <f aca="false">SUM(J52:J63)</f>
        <v>220000</v>
      </c>
      <c r="M52" s="103" t="n">
        <f aca="false">((($O$77+$O$78+$O$79+$O$83)*(L52/$L$64))+L52)/$O$86</f>
        <v>0.1</v>
      </c>
      <c r="N52" s="84"/>
      <c r="O52" s="84"/>
    </row>
    <row r="53" customFormat="false" ht="16.5" hidden="false" customHeight="true" outlineLevel="0" collapsed="false">
      <c r="A53" s="74"/>
      <c r="B53" s="96"/>
      <c r="C53" s="97"/>
      <c r="D53" s="97"/>
      <c r="E53" s="104" t="s">
        <v>118</v>
      </c>
      <c r="F53" s="105" t="s">
        <v>109</v>
      </c>
      <c r="G53" s="58" t="n">
        <v>1</v>
      </c>
      <c r="H53" s="59" t="n">
        <v>15000</v>
      </c>
      <c r="I53" s="59" t="n">
        <f aca="false">+G53*H53</f>
        <v>15000</v>
      </c>
      <c r="J53" s="82"/>
      <c r="K53" s="82"/>
      <c r="L53" s="82"/>
      <c r="M53" s="82"/>
      <c r="N53" s="60"/>
      <c r="O53" s="60"/>
    </row>
    <row r="54" customFormat="false" ht="16.5" hidden="false" customHeight="true" outlineLevel="0" collapsed="false">
      <c r="A54" s="74"/>
      <c r="B54" s="96"/>
      <c r="C54" s="97"/>
      <c r="D54" s="97"/>
      <c r="E54" s="104" t="s">
        <v>111</v>
      </c>
      <c r="F54" s="105" t="s">
        <v>112</v>
      </c>
      <c r="G54" s="58" t="n">
        <v>2</v>
      </c>
      <c r="H54" s="59" t="n">
        <v>10000</v>
      </c>
      <c r="I54" s="59" t="n">
        <f aca="false">+G54*H54</f>
        <v>20000</v>
      </c>
      <c r="J54" s="82"/>
      <c r="K54" s="82"/>
      <c r="L54" s="82"/>
      <c r="M54" s="82"/>
      <c r="N54" s="60"/>
      <c r="O54" s="60"/>
    </row>
    <row r="55" customFormat="false" ht="16.5" hidden="false" customHeight="true" outlineLevel="0" collapsed="false">
      <c r="A55" s="74"/>
      <c r="B55" s="96"/>
      <c r="C55" s="97"/>
      <c r="D55" s="97"/>
      <c r="E55" s="104" t="s">
        <v>115</v>
      </c>
      <c r="F55" s="105" t="s">
        <v>109</v>
      </c>
      <c r="G55" s="58" t="n">
        <v>1</v>
      </c>
      <c r="H55" s="59" t="n">
        <v>10000</v>
      </c>
      <c r="I55" s="59" t="n">
        <f aca="false">+G55*H55</f>
        <v>10000</v>
      </c>
      <c r="J55" s="82"/>
      <c r="K55" s="82"/>
      <c r="L55" s="82"/>
      <c r="M55" s="82"/>
      <c r="N55" s="60"/>
      <c r="O55" s="60"/>
    </row>
    <row r="56" customFormat="false" ht="16.5" hidden="false" customHeight="true" outlineLevel="0" collapsed="false">
      <c r="A56" s="74"/>
      <c r="B56" s="96"/>
      <c r="C56" s="106" t="s">
        <v>145</v>
      </c>
      <c r="D56" s="107" t="s">
        <v>146</v>
      </c>
      <c r="E56" s="108" t="s">
        <v>115</v>
      </c>
      <c r="F56" s="109" t="s">
        <v>109</v>
      </c>
      <c r="G56" s="46" t="n">
        <v>1</v>
      </c>
      <c r="H56" s="47" t="n">
        <v>10000</v>
      </c>
      <c r="I56" s="47" t="n">
        <f aca="false">+G56*H56</f>
        <v>10000</v>
      </c>
      <c r="J56" s="48" t="n">
        <f aca="false">SUM(I56:I59)</f>
        <v>65000</v>
      </c>
      <c r="K56" s="82"/>
      <c r="L56" s="82"/>
      <c r="M56" s="82"/>
      <c r="N56" s="60"/>
      <c r="O56" s="60"/>
    </row>
    <row r="57" customFormat="false" ht="16.5" hidden="false" customHeight="true" outlineLevel="0" collapsed="false">
      <c r="A57" s="74"/>
      <c r="B57" s="96"/>
      <c r="C57" s="106"/>
      <c r="D57" s="106"/>
      <c r="E57" s="110" t="s">
        <v>111</v>
      </c>
      <c r="F57" s="109" t="s">
        <v>112</v>
      </c>
      <c r="G57" s="46" t="n">
        <v>3</v>
      </c>
      <c r="H57" s="47" t="n">
        <v>10000</v>
      </c>
      <c r="I57" s="47" t="n">
        <f aca="false">+G57*H57</f>
        <v>30000</v>
      </c>
      <c r="J57" s="48"/>
      <c r="K57" s="82"/>
      <c r="L57" s="82"/>
      <c r="M57" s="82"/>
      <c r="N57" s="60"/>
      <c r="O57" s="60"/>
    </row>
    <row r="58" customFormat="false" ht="16.5" hidden="false" customHeight="true" outlineLevel="0" collapsed="false">
      <c r="A58" s="74"/>
      <c r="B58" s="96"/>
      <c r="C58" s="106"/>
      <c r="D58" s="106"/>
      <c r="E58" s="108" t="s">
        <v>147</v>
      </c>
      <c r="F58" s="109" t="s">
        <v>148</v>
      </c>
      <c r="G58" s="46" t="n">
        <v>3</v>
      </c>
      <c r="H58" s="47" t="n">
        <v>7000</v>
      </c>
      <c r="I58" s="47" t="n">
        <f aca="false">+G58*H58</f>
        <v>21000</v>
      </c>
      <c r="J58" s="48"/>
      <c r="K58" s="82"/>
      <c r="L58" s="82"/>
      <c r="M58" s="82"/>
      <c r="N58" s="60"/>
      <c r="O58" s="60"/>
    </row>
    <row r="59" customFormat="false" ht="16.5" hidden="false" customHeight="true" outlineLevel="0" collapsed="false">
      <c r="A59" s="74"/>
      <c r="B59" s="96"/>
      <c r="C59" s="106"/>
      <c r="D59" s="106"/>
      <c r="E59" s="108" t="s">
        <v>118</v>
      </c>
      <c r="F59" s="109" t="s">
        <v>109</v>
      </c>
      <c r="G59" s="46" t="n">
        <v>1</v>
      </c>
      <c r="H59" s="47" t="n">
        <v>4000</v>
      </c>
      <c r="I59" s="47" t="n">
        <f aca="false">+G59*H59</f>
        <v>4000</v>
      </c>
      <c r="J59" s="48"/>
      <c r="K59" s="82"/>
      <c r="L59" s="82"/>
      <c r="M59" s="82"/>
      <c r="N59" s="60"/>
      <c r="O59" s="60"/>
    </row>
    <row r="60" customFormat="false" ht="16.5" hidden="false" customHeight="true" outlineLevel="0" collapsed="false">
      <c r="A60" s="74"/>
      <c r="B60" s="85" t="s">
        <v>149</v>
      </c>
      <c r="C60" s="111" t="s">
        <v>150</v>
      </c>
      <c r="D60" s="112" t="s">
        <v>151</v>
      </c>
      <c r="E60" s="113" t="s">
        <v>147</v>
      </c>
      <c r="F60" s="57" t="s">
        <v>148</v>
      </c>
      <c r="G60" s="58" t="n">
        <v>3</v>
      </c>
      <c r="H60" s="59" t="n">
        <v>7000</v>
      </c>
      <c r="I60" s="59" t="n">
        <f aca="false">+G60*H60</f>
        <v>21000</v>
      </c>
      <c r="J60" s="50" t="n">
        <f aca="false">SUM(I60:I63)</f>
        <v>45000</v>
      </c>
      <c r="K60" s="50" t="n">
        <f aca="false">SUM(J60)</f>
        <v>45000</v>
      </c>
      <c r="L60" s="82"/>
      <c r="M60" s="82"/>
      <c r="N60" s="60"/>
      <c r="O60" s="60"/>
    </row>
    <row r="61" customFormat="false" ht="16.5" hidden="false" customHeight="true" outlineLevel="0" collapsed="false">
      <c r="A61" s="74"/>
      <c r="B61" s="85"/>
      <c r="C61" s="111"/>
      <c r="D61" s="111"/>
      <c r="E61" s="56" t="s">
        <v>111</v>
      </c>
      <c r="F61" s="57" t="s">
        <v>112</v>
      </c>
      <c r="G61" s="58" t="n">
        <v>1</v>
      </c>
      <c r="H61" s="59" t="n">
        <v>15000</v>
      </c>
      <c r="I61" s="59" t="n">
        <f aca="false">+G61*H61</f>
        <v>15000</v>
      </c>
      <c r="J61" s="50"/>
      <c r="K61" s="50"/>
      <c r="L61" s="82"/>
      <c r="M61" s="82"/>
      <c r="N61" s="60"/>
      <c r="O61" s="60"/>
    </row>
    <row r="62" customFormat="false" ht="16.5" hidden="false" customHeight="true" outlineLevel="0" collapsed="false">
      <c r="A62" s="74"/>
      <c r="B62" s="85"/>
      <c r="C62" s="111"/>
      <c r="D62" s="111"/>
      <c r="E62" s="56" t="s">
        <v>115</v>
      </c>
      <c r="F62" s="57" t="s">
        <v>109</v>
      </c>
      <c r="G62" s="58" t="n">
        <v>1</v>
      </c>
      <c r="H62" s="59" t="n">
        <v>4000</v>
      </c>
      <c r="I62" s="59" t="n">
        <f aca="false">+G62*H62</f>
        <v>4000</v>
      </c>
      <c r="J62" s="50"/>
      <c r="K62" s="50"/>
      <c r="L62" s="82"/>
      <c r="M62" s="82"/>
      <c r="N62" s="60"/>
      <c r="O62" s="60"/>
    </row>
    <row r="63" customFormat="false" ht="16.5" hidden="false" customHeight="true" outlineLevel="0" collapsed="false">
      <c r="A63" s="74"/>
      <c r="B63" s="85"/>
      <c r="C63" s="111"/>
      <c r="D63" s="111"/>
      <c r="E63" s="56" t="s">
        <v>108</v>
      </c>
      <c r="F63" s="57" t="s">
        <v>109</v>
      </c>
      <c r="G63" s="58" t="n">
        <v>1</v>
      </c>
      <c r="H63" s="59" t="n">
        <v>5000</v>
      </c>
      <c r="I63" s="59" t="n">
        <f aca="false">+G63*H63</f>
        <v>5000</v>
      </c>
      <c r="J63" s="50"/>
      <c r="K63" s="50"/>
      <c r="L63" s="82"/>
      <c r="M63" s="82"/>
      <c r="N63" s="60"/>
      <c r="O63" s="60"/>
    </row>
    <row r="64" s="122" customFormat="true" ht="16.5" hidden="false" customHeight="true" outlineLevel="0" collapsed="false">
      <c r="A64" s="114" t="s">
        <v>152</v>
      </c>
      <c r="B64" s="114"/>
      <c r="C64" s="115"/>
      <c r="D64" s="115"/>
      <c r="E64" s="116"/>
      <c r="F64" s="117"/>
      <c r="G64" s="118"/>
      <c r="H64" s="116"/>
      <c r="I64" s="116"/>
      <c r="J64" s="119"/>
      <c r="K64" s="119"/>
      <c r="L64" s="120" t="n">
        <f aca="false">SUM(L8:L63)</f>
        <v>2200000</v>
      </c>
      <c r="M64" s="120"/>
      <c r="N64" s="120"/>
      <c r="O64" s="121"/>
    </row>
    <row r="65" customFormat="false" ht="16.5" hidden="false" customHeight="true" outlineLevel="0" collapsed="false">
      <c r="A65" s="123" t="s">
        <v>153</v>
      </c>
      <c r="B65" s="124"/>
      <c r="C65" s="125"/>
      <c r="D65" s="124"/>
      <c r="E65" s="126"/>
      <c r="F65" s="127"/>
      <c r="G65" s="128"/>
      <c r="H65" s="129"/>
      <c r="I65" s="130"/>
      <c r="J65" s="131" t="n">
        <v>60000</v>
      </c>
      <c r="K65" s="132"/>
      <c r="L65" s="132" t="n">
        <f aca="false">+J65</f>
        <v>60000</v>
      </c>
      <c r="M65" s="132"/>
      <c r="N65" s="132"/>
      <c r="O65" s="133"/>
    </row>
    <row r="66" s="122" customFormat="true" ht="16.5" hidden="false" customHeight="true" outlineLevel="0" collapsed="false">
      <c r="A66" s="134"/>
      <c r="B66" s="134"/>
      <c r="C66" s="134"/>
      <c r="D66" s="134"/>
      <c r="E66" s="135"/>
      <c r="F66" s="136"/>
      <c r="G66" s="137"/>
      <c r="H66" s="135"/>
      <c r="I66" s="135"/>
      <c r="J66" s="119"/>
      <c r="K66" s="119"/>
      <c r="L66" s="120" t="n">
        <f aca="false">+L64+L65</f>
        <v>2260000</v>
      </c>
      <c r="M66" s="120"/>
      <c r="N66" s="120"/>
      <c r="O66" s="121"/>
    </row>
    <row r="67" customFormat="false" ht="16.5" hidden="false" customHeight="true" outlineLevel="0" collapsed="false">
      <c r="A67" s="138" t="s">
        <v>154</v>
      </c>
      <c r="B67" s="138"/>
      <c r="C67" s="138"/>
      <c r="D67" s="138"/>
      <c r="E67" s="62" t="s">
        <v>155</v>
      </c>
      <c r="F67" s="78" t="s">
        <v>156</v>
      </c>
      <c r="G67" s="79" t="n">
        <v>3</v>
      </c>
      <c r="H67" s="65" t="n">
        <v>5000</v>
      </c>
      <c r="I67" s="65" t="n">
        <f aca="false">H67*G67</f>
        <v>15000</v>
      </c>
      <c r="J67" s="139" t="s">
        <v>157</v>
      </c>
      <c r="K67" s="139" t="s">
        <v>158</v>
      </c>
      <c r="L67" s="140"/>
      <c r="M67" s="140"/>
      <c r="N67" s="140"/>
      <c r="O67" s="140"/>
    </row>
    <row r="68" customFormat="false" ht="16.5" hidden="false" customHeight="true" outlineLevel="0" collapsed="false">
      <c r="A68" s="138"/>
      <c r="B68" s="138"/>
      <c r="C68" s="138"/>
      <c r="D68" s="138"/>
      <c r="E68" s="62" t="s">
        <v>106</v>
      </c>
      <c r="F68" s="78" t="s">
        <v>159</v>
      </c>
      <c r="G68" s="58" t="n">
        <v>36</v>
      </c>
      <c r="H68" s="59" t="n">
        <v>4000</v>
      </c>
      <c r="I68" s="59" t="n">
        <f aca="false">G68*H68</f>
        <v>144000</v>
      </c>
      <c r="J68" s="139"/>
      <c r="K68" s="139"/>
      <c r="L68" s="140"/>
      <c r="M68" s="140"/>
      <c r="N68" s="140"/>
      <c r="O68" s="140"/>
    </row>
    <row r="69" customFormat="false" ht="16.5" hidden="false" customHeight="true" outlineLevel="0" collapsed="false">
      <c r="A69" s="138"/>
      <c r="B69" s="138"/>
      <c r="C69" s="138"/>
      <c r="D69" s="138"/>
      <c r="E69" s="62" t="s">
        <v>108</v>
      </c>
      <c r="F69" s="78" t="s">
        <v>109</v>
      </c>
      <c r="G69" s="141" t="n">
        <v>1</v>
      </c>
      <c r="H69" s="65" t="n">
        <v>9000</v>
      </c>
      <c r="I69" s="65" t="n">
        <f aca="false">H69*G69</f>
        <v>9000</v>
      </c>
      <c r="J69" s="139"/>
      <c r="K69" s="139"/>
      <c r="L69" s="140"/>
      <c r="M69" s="140"/>
      <c r="N69" s="140"/>
      <c r="O69" s="140"/>
    </row>
    <row r="70" customFormat="false" ht="16.5" hidden="false" customHeight="true" outlineLevel="0" collapsed="false">
      <c r="A70" s="138"/>
      <c r="B70" s="138"/>
      <c r="C70" s="138"/>
      <c r="D70" s="138"/>
      <c r="E70" s="62"/>
      <c r="F70" s="78"/>
      <c r="G70" s="141"/>
      <c r="H70" s="65"/>
      <c r="I70" s="65" t="n">
        <f aca="false">H70*G70</f>
        <v>0</v>
      </c>
      <c r="J70" s="142" t="n">
        <f aca="false">SUM(I67:I71)</f>
        <v>168000</v>
      </c>
      <c r="K70" s="142" t="n">
        <f aca="false">L66*0.075</f>
        <v>169500</v>
      </c>
      <c r="L70" s="140"/>
      <c r="M70" s="140"/>
      <c r="N70" s="140"/>
      <c r="O70" s="140"/>
    </row>
    <row r="71" customFormat="false" ht="16.5" hidden="false" customHeight="true" outlineLevel="0" collapsed="false">
      <c r="A71" s="138"/>
      <c r="B71" s="138"/>
      <c r="C71" s="138"/>
      <c r="D71" s="138"/>
      <c r="E71" s="62"/>
      <c r="F71" s="78"/>
      <c r="G71" s="141"/>
      <c r="H71" s="65"/>
      <c r="I71" s="65" t="n">
        <f aca="false">H71*G71</f>
        <v>0</v>
      </c>
      <c r="J71" s="143" t="n">
        <f aca="false">J70/L66</f>
        <v>0.0743362831858407</v>
      </c>
      <c r="K71" s="143" t="n">
        <f aca="false">K70/L66</f>
        <v>0.075</v>
      </c>
      <c r="L71" s="140"/>
      <c r="M71" s="140"/>
      <c r="N71" s="140"/>
      <c r="O71" s="140"/>
    </row>
    <row r="72" customFormat="false" ht="16.5" hidden="false" customHeight="true" outlineLevel="0" collapsed="false">
      <c r="A72" s="144"/>
      <c r="B72" s="144"/>
      <c r="C72" s="144"/>
      <c r="D72" s="144"/>
      <c r="E72" s="145"/>
      <c r="F72" s="146"/>
      <c r="G72" s="146"/>
      <c r="H72" s="147"/>
      <c r="I72" s="148"/>
      <c r="J72" s="148"/>
      <c r="K72" s="148"/>
      <c r="L72" s="149"/>
      <c r="M72" s="149"/>
      <c r="N72" s="149"/>
      <c r="O72" s="150"/>
    </row>
    <row r="73" customFormat="false" ht="16.5" hidden="false" customHeight="true" outlineLevel="0" collapsed="false">
      <c r="A73" s="151"/>
      <c r="B73" s="151"/>
      <c r="C73" s="151"/>
      <c r="D73" s="151"/>
      <c r="E73" s="152"/>
      <c r="F73" s="146"/>
      <c r="G73" s="5"/>
      <c r="H73" s="153"/>
      <c r="I73" s="154"/>
      <c r="J73" s="154"/>
      <c r="K73" s="154"/>
      <c r="L73" s="154"/>
      <c r="M73" s="154"/>
      <c r="N73" s="154"/>
      <c r="O73" s="155"/>
    </row>
    <row r="74" s="122" customFormat="true" ht="16.5" hidden="false" customHeight="true" outlineLevel="0" collapsed="false">
      <c r="A74" s="156" t="s">
        <v>160</v>
      </c>
      <c r="B74" s="157"/>
      <c r="C74" s="158" t="s">
        <v>161</v>
      </c>
      <c r="D74" s="157"/>
      <c r="E74" s="159"/>
      <c r="F74" s="160"/>
      <c r="G74" s="160"/>
      <c r="H74" s="160"/>
      <c r="I74" s="160"/>
      <c r="J74" s="160"/>
      <c r="K74" s="160"/>
      <c r="L74" s="160"/>
      <c r="M74" s="160"/>
      <c r="N74" s="160"/>
      <c r="O74" s="160"/>
    </row>
    <row r="75" customFormat="false" ht="16.5" hidden="false" customHeight="true" outlineLevel="0" collapsed="false">
      <c r="A75" s="161" t="str">
        <f aca="false">+'Budget Category'!A4</f>
        <v>Audio Visual &amp; Printing</v>
      </c>
      <c r="B75" s="162"/>
      <c r="C75" s="163" t="n">
        <f aca="false">SUMIF(E8:E63,'Budget Category'!A4,I8:I63)</f>
        <v>34000</v>
      </c>
      <c r="D75" s="162"/>
      <c r="F75" s="164"/>
    </row>
    <row r="76" customFormat="false" ht="16.5" hidden="false" customHeight="true" outlineLevel="0" collapsed="false">
      <c r="A76" s="161" t="str">
        <f aca="false">+'Budget Category'!A5</f>
        <v>Audit Fee</v>
      </c>
      <c r="B76" s="162"/>
      <c r="C76" s="163" t="n">
        <f aca="false">SUMIF(E8:E63,'Budget Category'!A5,I8:I63)</f>
        <v>0</v>
      </c>
      <c r="D76" s="162"/>
      <c r="F76" s="165" t="s">
        <v>152</v>
      </c>
      <c r="G76" s="5"/>
      <c r="H76" s="165"/>
      <c r="I76" s="165"/>
      <c r="J76" s="165"/>
      <c r="K76" s="165"/>
      <c r="L76" s="5"/>
      <c r="M76" s="5"/>
      <c r="N76" s="5"/>
      <c r="O76" s="166" t="n">
        <f aca="false">+L64</f>
        <v>2200000</v>
      </c>
    </row>
    <row r="77" customFormat="false" ht="16.5" hidden="false" customHeight="true" outlineLevel="0" collapsed="false">
      <c r="A77" s="161" t="str">
        <f aca="false">+'Budget Category'!A6</f>
        <v>Communication </v>
      </c>
      <c r="B77" s="167"/>
      <c r="C77" s="163" t="n">
        <f aca="false">SUMIF(E8:E63,'Budget Category'!A6,I8:I63)</f>
        <v>34000</v>
      </c>
      <c r="D77" s="167"/>
      <c r="F77" s="165" t="s">
        <v>153</v>
      </c>
      <c r="G77" s="5"/>
      <c r="H77" s="5"/>
      <c r="I77" s="5"/>
      <c r="J77" s="5"/>
      <c r="K77" s="5"/>
      <c r="L77" s="5"/>
      <c r="M77" s="5"/>
      <c r="N77" s="5"/>
      <c r="O77" s="166" t="n">
        <f aca="false">+L65</f>
        <v>60000</v>
      </c>
    </row>
    <row r="78" customFormat="false" ht="16.5" hidden="false" customHeight="true" outlineLevel="0" collapsed="false">
      <c r="A78" s="161" t="str">
        <f aca="false">+'Budget Category'!A7</f>
        <v>Consultant - Individual - International</v>
      </c>
      <c r="B78" s="167"/>
      <c r="C78" s="163" t="n">
        <f aca="false">SUMIF(E8:E63,'Budget Category'!A7,I8:I63)</f>
        <v>217500</v>
      </c>
      <c r="D78" s="167"/>
      <c r="F78" s="165" t="s">
        <v>162</v>
      </c>
      <c r="G78" s="5"/>
      <c r="H78" s="168"/>
      <c r="I78" s="5"/>
      <c r="J78" s="169" t="n">
        <f aca="false">J71</f>
        <v>0.0743362831858407</v>
      </c>
      <c r="K78" s="170" t="s">
        <v>163</v>
      </c>
      <c r="L78" s="171"/>
      <c r="M78" s="171"/>
      <c r="N78" s="171"/>
      <c r="O78" s="166" t="n">
        <f aca="false">J70</f>
        <v>168000</v>
      </c>
    </row>
    <row r="79" customFormat="false" ht="16.5" hidden="false" customHeight="true" outlineLevel="0" collapsed="false">
      <c r="A79" s="161" t="str">
        <f aca="false">+'Budget Category'!A8</f>
        <v>Consultant - Individual - Local</v>
      </c>
      <c r="B79" s="167"/>
      <c r="C79" s="163" t="n">
        <f aca="false">SUMIF(E8:E63,'Budget Category'!A8,I8:I63)</f>
        <v>367500</v>
      </c>
      <c r="D79" s="167"/>
      <c r="F79" s="172" t="s">
        <v>164</v>
      </c>
      <c r="G79" s="172"/>
      <c r="H79" s="173"/>
      <c r="I79" s="173"/>
      <c r="J79" s="174" t="n">
        <v>0.03</v>
      </c>
      <c r="K79" s="175" t="s">
        <v>163</v>
      </c>
      <c r="L79" s="176"/>
      <c r="M79" s="176"/>
      <c r="N79" s="176"/>
      <c r="O79" s="177" t="n">
        <f aca="false">L66*J79</f>
        <v>67800</v>
      </c>
    </row>
    <row r="80" customFormat="false" ht="16.5" hidden="false" customHeight="true" outlineLevel="0" collapsed="false">
      <c r="A80" s="161" t="str">
        <f aca="false">+'Budget Category'!A9</f>
        <v>Professional Services – Companies/Firm</v>
      </c>
      <c r="B80" s="167"/>
      <c r="C80" s="163" t="n">
        <f aca="false">SUMIF(E8:E63,'Budget Category'!A9,I8:I63)</f>
        <v>1230000</v>
      </c>
      <c r="D80" s="167"/>
      <c r="F80" s="178"/>
      <c r="G80" s="5"/>
      <c r="H80" s="178"/>
      <c r="I80" s="178"/>
      <c r="J80" s="179"/>
      <c r="K80" s="180"/>
      <c r="L80" s="5"/>
      <c r="M80" s="5"/>
      <c r="N80" s="5"/>
      <c r="O80" s="181"/>
    </row>
    <row r="81" customFormat="false" ht="16.5" hidden="false" customHeight="true" outlineLevel="0" collapsed="false">
      <c r="A81" s="161" t="str">
        <f aca="false">+'Budget Category'!A10</f>
        <v>Office Supplies</v>
      </c>
      <c r="B81" s="167"/>
      <c r="C81" s="163" t="n">
        <f aca="false">SUMIF(E8:E63,'Budget Category'!A10,I8:I63)</f>
        <v>70500</v>
      </c>
      <c r="D81" s="167"/>
      <c r="F81" s="165" t="s">
        <v>165</v>
      </c>
      <c r="G81" s="5"/>
      <c r="H81" s="182"/>
      <c r="I81" s="182"/>
      <c r="J81" s="183"/>
      <c r="K81" s="184"/>
      <c r="L81" s="182"/>
      <c r="M81" s="182"/>
      <c r="N81" s="182"/>
      <c r="O81" s="185" t="n">
        <f aca="false">SUM(O76,O77,O78,O79)</f>
        <v>2495800</v>
      </c>
    </row>
    <row r="82" customFormat="false" ht="16.5" hidden="false" customHeight="true" outlineLevel="0" collapsed="false">
      <c r="A82" s="161" t="str">
        <f aca="false">+'Budget Category'!A11</f>
        <v>Travel - International</v>
      </c>
      <c r="B82" s="167"/>
      <c r="C82" s="163" t="n">
        <f aca="false">SUMIF(E8:E63,'Budget Category'!A11,I8:I63)</f>
        <v>42000</v>
      </c>
      <c r="D82" s="167"/>
      <c r="F82" s="186"/>
      <c r="G82" s="5"/>
      <c r="H82" s="186"/>
      <c r="I82" s="186"/>
      <c r="J82" s="187"/>
      <c r="K82" s="188"/>
      <c r="L82" s="185"/>
      <c r="M82" s="185"/>
      <c r="N82" s="185"/>
      <c r="O82" s="181"/>
    </row>
    <row r="83" customFormat="false" ht="16.5" hidden="false" customHeight="true" outlineLevel="0" collapsed="false">
      <c r="A83" s="161" t="str">
        <f aca="false">+'Budget Category'!A12</f>
        <v>Travel – Local</v>
      </c>
      <c r="B83" s="167"/>
      <c r="C83" s="163" t="n">
        <f aca="false">SUMIF(E8:E63,'Budget Category'!A12,I8:I63)</f>
        <v>24000</v>
      </c>
      <c r="D83" s="167"/>
      <c r="F83" s="165" t="s">
        <v>166</v>
      </c>
      <c r="G83" s="5"/>
      <c r="H83" s="165"/>
      <c r="I83" s="165"/>
      <c r="J83" s="189" t="n">
        <v>0.05</v>
      </c>
      <c r="K83" s="170" t="s">
        <v>163</v>
      </c>
      <c r="L83" s="171"/>
      <c r="M83" s="171"/>
      <c r="N83" s="165"/>
      <c r="O83" s="185" t="n">
        <f aca="false">O81*J83</f>
        <v>124790</v>
      </c>
    </row>
    <row r="84" customFormat="false" ht="17.25" hidden="false" customHeight="true" outlineLevel="0" collapsed="false">
      <c r="A84" s="161" t="str">
        <f aca="false">+'Budget Category'!A13</f>
        <v>Workshop/Training </v>
      </c>
      <c r="B84" s="167"/>
      <c r="C84" s="163" t="n">
        <f aca="false">SUMIF(E8:E63,'Budget Category'!A13,I8:I63)</f>
        <v>180500</v>
      </c>
      <c r="D84" s="167"/>
      <c r="F84" s="190"/>
      <c r="G84" s="190"/>
      <c r="H84" s="190"/>
      <c r="I84" s="190"/>
      <c r="J84" s="190"/>
      <c r="K84" s="190"/>
      <c r="L84" s="190"/>
      <c r="M84" s="190"/>
      <c r="N84" s="190"/>
      <c r="O84" s="191"/>
    </row>
    <row r="85" customFormat="false" ht="17.25" hidden="false" customHeight="true" outlineLevel="0" collapsed="false">
      <c r="A85" s="161" t="n">
        <f aca="false">+'Budget Category'!A14</f>
        <v>0</v>
      </c>
      <c r="B85" s="167"/>
      <c r="C85" s="163" t="n">
        <f aca="false">SUMIF(E8:E63,'Budget Category'!A14,I8:I63)</f>
        <v>0</v>
      </c>
      <c r="D85" s="167"/>
      <c r="F85" s="192"/>
      <c r="H85" s="192"/>
      <c r="I85" s="192"/>
      <c r="J85" s="192"/>
      <c r="K85" s="192"/>
      <c r="L85" s="192"/>
      <c r="M85" s="192"/>
      <c r="N85" s="192"/>
      <c r="O85" s="193"/>
    </row>
    <row r="86" customFormat="false" ht="16.5" hidden="false" customHeight="true" outlineLevel="0" collapsed="false">
      <c r="A86" s="161" t="n">
        <f aca="false">+'Budget Category'!A15</f>
        <v>0</v>
      </c>
      <c r="B86" s="167"/>
      <c r="C86" s="163" t="n">
        <f aca="false">SUMIF(E8:E63,'Budget Category'!A15,I8:I63)</f>
        <v>0</v>
      </c>
      <c r="D86" s="167"/>
      <c r="F86" s="194" t="s">
        <v>167</v>
      </c>
      <c r="G86" s="194"/>
      <c r="H86" s="194"/>
      <c r="I86" s="194"/>
      <c r="J86" s="194"/>
      <c r="K86" s="194"/>
      <c r="L86" s="194"/>
      <c r="M86" s="194"/>
      <c r="N86" s="194"/>
      <c r="O86" s="195" t="n">
        <f aca="false">ROUNDUP((SUM(O81,O83)),0)</f>
        <v>2620590</v>
      </c>
    </row>
    <row r="87" customFormat="false" ht="16.5" hidden="false" customHeight="true" outlineLevel="0" collapsed="false">
      <c r="A87" s="161" t="n">
        <f aca="false">+'Budget Category'!A16</f>
        <v>0</v>
      </c>
      <c r="B87" s="167"/>
      <c r="C87" s="163" t="n">
        <f aca="false">SUMIF(E8:E63,'Budget Category'!A16,I8:I63)</f>
        <v>0</v>
      </c>
      <c r="D87" s="167"/>
      <c r="F87" s="196"/>
    </row>
    <row r="88" customFormat="false" ht="16.5" hidden="false" customHeight="true" outlineLevel="0" collapsed="false">
      <c r="A88" s="156" t="s">
        <v>152</v>
      </c>
      <c r="B88" s="157"/>
      <c r="C88" s="197" t="n">
        <f aca="false">SUM(C75:C87)</f>
        <v>2200000</v>
      </c>
      <c r="D88" s="157"/>
      <c r="F88" s="198" t="s">
        <v>168</v>
      </c>
      <c r="G88" s="199"/>
      <c r="H88" s="154"/>
    </row>
    <row r="89" customFormat="false" ht="16.5" hidden="false" customHeight="true" outlineLevel="0" collapsed="false">
      <c r="A89" s="200"/>
      <c r="B89" s="200"/>
      <c r="C89" s="200"/>
      <c r="D89" s="201"/>
      <c r="E89" s="202"/>
    </row>
    <row r="90" customFormat="false" ht="16.5" hidden="false" customHeight="true" outlineLevel="0" collapsed="false">
      <c r="A90" s="203" t="s">
        <v>169</v>
      </c>
      <c r="B90" s="203"/>
      <c r="C90" s="204"/>
      <c r="D90" s="205"/>
    </row>
    <row r="91" customFormat="false" ht="16.5" hidden="false" customHeight="true" outlineLevel="0" collapsed="false">
      <c r="A91" s="198"/>
      <c r="O91" s="2" t="s">
        <v>170</v>
      </c>
    </row>
  </sheetData>
  <mergeCells count="91">
    <mergeCell ref="A5:A7"/>
    <mergeCell ref="B5:B7"/>
    <mergeCell ref="C5:C7"/>
    <mergeCell ref="D5:D7"/>
    <mergeCell ref="E5:J5"/>
    <mergeCell ref="L5:L7"/>
    <mergeCell ref="M5:M7"/>
    <mergeCell ref="N5:N7"/>
    <mergeCell ref="O5:O7"/>
    <mergeCell ref="E6:E7"/>
    <mergeCell ref="F6:F7"/>
    <mergeCell ref="G6:G7"/>
    <mergeCell ref="H6:H7"/>
    <mergeCell ref="I6:I7"/>
    <mergeCell ref="J6:J7"/>
    <mergeCell ref="K6:K7"/>
    <mergeCell ref="A8:A35"/>
    <mergeCell ref="B8:B15"/>
    <mergeCell ref="C8:C11"/>
    <mergeCell ref="D8:D11"/>
    <mergeCell ref="J8:J11"/>
    <mergeCell ref="K8:K15"/>
    <mergeCell ref="L8:L35"/>
    <mergeCell ref="M8:M35"/>
    <mergeCell ref="C12:C15"/>
    <mergeCell ref="D12:D15"/>
    <mergeCell ref="J12:J15"/>
    <mergeCell ref="B16:B31"/>
    <mergeCell ref="C16:C19"/>
    <mergeCell ref="D16:D19"/>
    <mergeCell ref="J16:J19"/>
    <mergeCell ref="K16:K31"/>
    <mergeCell ref="C20:C23"/>
    <mergeCell ref="D20:D23"/>
    <mergeCell ref="J20:J23"/>
    <mergeCell ref="C24:C27"/>
    <mergeCell ref="D24:D27"/>
    <mergeCell ref="J24:J27"/>
    <mergeCell ref="C28:C31"/>
    <mergeCell ref="D28:D31"/>
    <mergeCell ref="J28:J31"/>
    <mergeCell ref="B32:B35"/>
    <mergeCell ref="C32:C35"/>
    <mergeCell ref="D32:D35"/>
    <mergeCell ref="J32:J35"/>
    <mergeCell ref="K32:K35"/>
    <mergeCell ref="A36:A51"/>
    <mergeCell ref="B36:B39"/>
    <mergeCell ref="C36:C39"/>
    <mergeCell ref="D36:D39"/>
    <mergeCell ref="J36:J39"/>
    <mergeCell ref="K36:K39"/>
    <mergeCell ref="L36:L51"/>
    <mergeCell ref="M36:M51"/>
    <mergeCell ref="B40:B47"/>
    <mergeCell ref="C40:C43"/>
    <mergeCell ref="D40:D43"/>
    <mergeCell ref="J40:J43"/>
    <mergeCell ref="K40:K47"/>
    <mergeCell ref="C44:C47"/>
    <mergeCell ref="D44:D47"/>
    <mergeCell ref="J44:J47"/>
    <mergeCell ref="B48:B51"/>
    <mergeCell ref="C48:C51"/>
    <mergeCell ref="D48:D51"/>
    <mergeCell ref="J48:J51"/>
    <mergeCell ref="K48:K51"/>
    <mergeCell ref="A52:A63"/>
    <mergeCell ref="B52:B59"/>
    <mergeCell ref="C52:C55"/>
    <mergeCell ref="D52:D55"/>
    <mergeCell ref="J52:J55"/>
    <mergeCell ref="K52:K59"/>
    <mergeCell ref="L52:L63"/>
    <mergeCell ref="M52:M63"/>
    <mergeCell ref="C56:C59"/>
    <mergeCell ref="D56:D59"/>
    <mergeCell ref="J56:J59"/>
    <mergeCell ref="B60:B63"/>
    <mergeCell ref="C60:C63"/>
    <mergeCell ref="D60:D63"/>
    <mergeCell ref="J60:J63"/>
    <mergeCell ref="K60:K63"/>
    <mergeCell ref="A64:B64"/>
    <mergeCell ref="A67:C71"/>
    <mergeCell ref="J67:J69"/>
    <mergeCell ref="K67:K69"/>
    <mergeCell ref="L67:O71"/>
    <mergeCell ref="F74:O74"/>
    <mergeCell ref="A89:C89"/>
    <mergeCell ref="A90:B90"/>
  </mergeCells>
  <conditionalFormatting sqref="J78">
    <cfRule type="cellIs" priority="2" operator="lessThanOrEqual" aboveAverage="0" equalAverage="0" bottom="0" percent="0" rank="0" text="" dxfId="0">
      <formula>0.05</formula>
    </cfRule>
    <cfRule type="cellIs" priority="3" operator="greaterThan" aboveAverage="0" equalAverage="0" bottom="0" percent="0" rank="0" text="" dxfId="1">
      <formula>0.05</formula>
    </cfRule>
  </conditionalFormatting>
  <conditionalFormatting sqref="J71">
    <cfRule type="cellIs" priority="4" operator="greaterThan" aboveAverage="0" equalAverage="0" bottom="0" percent="0" rank="0" text="" dxfId="2">
      <formula>0.05</formula>
    </cfRule>
  </conditionalFormatting>
  <conditionalFormatting sqref="M52">
    <cfRule type="cellIs" priority="5" operator="greaterThan" aboveAverage="0" equalAverage="0" bottom="0" percent="0" rank="0" text="" dxfId="2">
      <formula>0.1</formula>
    </cfRule>
  </conditionalFormatting>
  <conditionalFormatting sqref="M36">
    <cfRule type="cellIs" priority="6" operator="greaterThan" aboveAverage="0" equalAverage="0" bottom="0" percent="0" rank="0" text="" dxfId="2">
      <formula>0.6</formula>
    </cfRule>
  </conditionalFormatting>
  <conditionalFormatting sqref="M8">
    <cfRule type="cellIs" priority="7" operator="greaterThan" aboveAverage="0" equalAverage="0" bottom="0" percent="0" rank="0" text="" dxfId="2">
      <formula>0.6</formula>
    </cfRule>
  </conditionalFormatting>
  <dataValidations count="9">
    <dataValidation allowBlank="true" errorStyle="stop" operator="between" showDropDown="false" showErrorMessage="true" showInputMessage="true" sqref="C8 C12" type="list">
      <formula1>'List of Deliverables'!$C$4:$C$5</formula1>
      <formula2>0</formula2>
    </dataValidation>
    <dataValidation allowBlank="true" errorStyle="stop" operator="between" showDropDown="false" showErrorMessage="true" showInputMessage="true" sqref="C32" type="list">
      <formula1>'List of Deliverables'!$C$10</formula1>
      <formula2>0</formula2>
    </dataValidation>
    <dataValidation allowBlank="true" errorStyle="stop" operator="between" showDropDown="false" showErrorMessage="true" showInputMessage="true" sqref="C36" type="list">
      <formula1>'List of Deliverables'!$C$11</formula1>
      <formula2>0</formula2>
    </dataValidation>
    <dataValidation allowBlank="true" errorStyle="stop" operator="between" showDropDown="false" showErrorMessage="true" showInputMessage="true" sqref="C40 C44" type="list">
      <formula1>'List of Deliverables'!$C$12:$C$13</formula1>
      <formula2>0</formula2>
    </dataValidation>
    <dataValidation allowBlank="true" errorStyle="stop" operator="between" showDropDown="false" showErrorMessage="true" showInputMessage="true" sqref="C48" type="list">
      <formula1>'List of Deliverables'!$C$14</formula1>
      <formula2>0</formula2>
    </dataValidation>
    <dataValidation allowBlank="true" errorStyle="stop" operator="between" showDropDown="false" showErrorMessage="true" showInputMessage="true" sqref="C52 C56" type="list">
      <formula1>'List of Deliverables'!$C$15:$C$16</formula1>
      <formula2>0</formula2>
    </dataValidation>
    <dataValidation allowBlank="true" errorStyle="stop" operator="between" showDropDown="false" showErrorMessage="true" showInputMessage="true" sqref="C60" type="list">
      <formula1>'List of Deliverables'!$C$17</formula1>
      <formula2>0</formula2>
    </dataValidation>
    <dataValidation allowBlank="true" errorStyle="stop" operator="between" showDropDown="false" showErrorMessage="true" showInputMessage="true" sqref="C16:C31" type="list">
      <formula1>'List of Deliverables'!$C$6:$C$9</formula1>
      <formula2>0</formula2>
    </dataValidation>
    <dataValidation allowBlank="true" errorStyle="stop" operator="between" showDropDown="false" showErrorMessage="true" showInputMessage="true" sqref="E8:E64 E67:E71" type="list">
      <formula1>'Budget Category'!$A$4:$A$19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328125" defaultRowHeight="16.5" zeroHeight="false" outlineLevelRow="0" outlineLevelCol="0"/>
  <cols>
    <col collapsed="false" customWidth="true" hidden="false" outlineLevel="0" max="1" min="1" style="2" width="63.25"/>
    <col collapsed="false" customWidth="true" hidden="false" outlineLevel="0" max="2" min="2" style="2" width="14.94"/>
    <col collapsed="false" customWidth="true" hidden="false" outlineLevel="0" max="3" min="3" style="206" width="7.39"/>
    <col collapsed="false" customWidth="true" hidden="false" outlineLevel="0" max="5" min="4" style="2" width="14.94"/>
    <col collapsed="false" customWidth="true" hidden="false" outlineLevel="0" max="6" min="6" style="2" width="15.66"/>
    <col collapsed="false" customWidth="true" hidden="false" outlineLevel="0" max="7" min="7" style="2" width="14.41"/>
    <col collapsed="false" customWidth="true" hidden="false" outlineLevel="0" max="8" min="8" style="2" width="14.94"/>
    <col collapsed="false" customWidth="true" hidden="false" outlineLevel="0" max="9" min="9" style="2" width="15.85"/>
    <col collapsed="false" customWidth="false" hidden="false" outlineLevel="0" max="16384" min="10" style="2" width="10.63"/>
  </cols>
  <sheetData>
    <row r="1" s="5" customFormat="true" ht="22.5" hidden="false" customHeight="true" outlineLevel="0" collapsed="false">
      <c r="A1" s="4" t="s">
        <v>171</v>
      </c>
      <c r="B1" s="12"/>
      <c r="C1" s="207"/>
      <c r="D1" s="208"/>
      <c r="E1" s="208"/>
      <c r="F1" s="208"/>
      <c r="G1" s="208"/>
      <c r="H1" s="208"/>
      <c r="I1" s="208"/>
    </row>
    <row r="2" s="32" customFormat="true" ht="13.5" hidden="false" customHeight="true" outlineLevel="0" collapsed="false">
      <c r="A2" s="209"/>
      <c r="B2" s="209"/>
      <c r="C2" s="209"/>
      <c r="D2" s="209"/>
      <c r="E2" s="209"/>
      <c r="F2" s="209"/>
      <c r="G2" s="209"/>
      <c r="H2" s="209"/>
      <c r="I2" s="209"/>
      <c r="J2" s="209"/>
      <c r="K2" s="209"/>
    </row>
    <row r="3" s="39" customFormat="true" ht="33.75" hidden="false" customHeight="true" outlineLevel="0" collapsed="false">
      <c r="A3" s="13" t="s">
        <v>172</v>
      </c>
      <c r="B3" s="13"/>
      <c r="C3" s="13"/>
      <c r="D3" s="13"/>
      <c r="E3" s="13"/>
      <c r="F3" s="13"/>
      <c r="G3" s="13"/>
      <c r="H3" s="13"/>
      <c r="I3" s="13"/>
      <c r="J3" s="210"/>
      <c r="K3" s="210"/>
    </row>
    <row r="4" customFormat="false" ht="16.5" hidden="false" customHeight="true" outlineLevel="0" collapsed="false">
      <c r="A4" s="211"/>
      <c r="B4" s="211"/>
      <c r="C4" s="212"/>
      <c r="D4" s="213"/>
      <c r="E4" s="213"/>
      <c r="F4" s="213"/>
      <c r="G4" s="213"/>
      <c r="H4" s="213"/>
      <c r="I4" s="213"/>
    </row>
    <row r="5" customFormat="false" ht="24" hidden="false" customHeight="true" outlineLevel="0" collapsed="false">
      <c r="A5" s="214" t="s">
        <v>173</v>
      </c>
      <c r="B5" s="214" t="s">
        <v>174</v>
      </c>
      <c r="C5" s="214" t="s">
        <v>175</v>
      </c>
      <c r="D5" s="214"/>
      <c r="E5" s="214" t="s">
        <v>176</v>
      </c>
      <c r="F5" s="214" t="s">
        <v>177</v>
      </c>
      <c r="G5" s="214" t="s">
        <v>178</v>
      </c>
      <c r="H5" s="214" t="s">
        <v>179</v>
      </c>
      <c r="I5" s="214" t="s">
        <v>180</v>
      </c>
    </row>
    <row r="6" s="221" customFormat="true" ht="36" hidden="false" customHeight="true" outlineLevel="0" collapsed="false">
      <c r="A6" s="215" t="s">
        <v>101</v>
      </c>
      <c r="B6" s="216" t="n">
        <v>150000</v>
      </c>
      <c r="C6" s="217" t="n">
        <v>0.0681818181818182</v>
      </c>
      <c r="D6" s="218"/>
      <c r="E6" s="218"/>
      <c r="F6" s="218"/>
      <c r="G6" s="218"/>
      <c r="H6" s="219"/>
      <c r="I6" s="220"/>
    </row>
    <row r="7" customFormat="false" ht="21.75" hidden="false" customHeight="true" outlineLevel="0" collapsed="false">
      <c r="A7" s="222" t="s">
        <v>181</v>
      </c>
      <c r="B7" s="223"/>
      <c r="C7" s="224" t="n">
        <v>0.3</v>
      </c>
      <c r="D7" s="225"/>
      <c r="E7" s="226" t="n">
        <v>45000</v>
      </c>
      <c r="F7" s="226"/>
      <c r="G7" s="226"/>
      <c r="H7" s="226"/>
      <c r="I7" s="226" t="n">
        <f aca="false">SUM(E7:H7)</f>
        <v>45000</v>
      </c>
    </row>
    <row r="8" customFormat="false" ht="21.75" hidden="false" customHeight="true" outlineLevel="0" collapsed="false">
      <c r="A8" s="222" t="s">
        <v>182</v>
      </c>
      <c r="B8" s="223"/>
      <c r="C8" s="224" t="n">
        <v>0.25</v>
      </c>
      <c r="D8" s="225"/>
      <c r="E8" s="226" t="n">
        <v>37500</v>
      </c>
      <c r="F8" s="226"/>
      <c r="G8" s="226"/>
      <c r="H8" s="226"/>
      <c r="I8" s="226" t="n">
        <f aca="false">SUM(E8:H8)</f>
        <v>37500</v>
      </c>
    </row>
    <row r="9" customFormat="false" ht="21.75" hidden="false" customHeight="true" outlineLevel="0" collapsed="false">
      <c r="A9" s="222" t="s">
        <v>183</v>
      </c>
      <c r="B9" s="223"/>
      <c r="C9" s="224" t="n">
        <v>0.2</v>
      </c>
      <c r="D9" s="225"/>
      <c r="E9" s="226" t="n">
        <v>30000</v>
      </c>
      <c r="F9" s="226"/>
      <c r="G9" s="226"/>
      <c r="H9" s="226"/>
      <c r="I9" s="226" t="n">
        <f aca="false">SUM(E9:H9)</f>
        <v>30000</v>
      </c>
    </row>
    <row r="10" customFormat="false" ht="21.75" hidden="false" customHeight="true" outlineLevel="0" collapsed="false">
      <c r="A10" s="222" t="s">
        <v>184</v>
      </c>
      <c r="B10" s="223"/>
      <c r="C10" s="224" t="n">
        <v>0.25</v>
      </c>
      <c r="D10" s="225"/>
      <c r="E10" s="226"/>
      <c r="F10" s="226" t="n">
        <v>37500</v>
      </c>
      <c r="G10" s="226"/>
      <c r="H10" s="226"/>
      <c r="I10" s="226" t="n">
        <f aca="false">SUM(E10:H10)</f>
        <v>37500</v>
      </c>
    </row>
    <row r="11" s="221" customFormat="true" ht="45.75" hidden="false" customHeight="true" outlineLevel="0" collapsed="false">
      <c r="A11" s="227" t="s">
        <v>185</v>
      </c>
      <c r="B11" s="216" t="n">
        <v>120000</v>
      </c>
      <c r="C11" s="228" t="n">
        <v>0.0545454545454545</v>
      </c>
      <c r="D11" s="229"/>
      <c r="E11" s="229"/>
      <c r="F11" s="229"/>
      <c r="G11" s="229"/>
      <c r="H11" s="230"/>
      <c r="I11" s="220"/>
    </row>
    <row r="12" customFormat="false" ht="21.75" hidden="false" customHeight="true" outlineLevel="0" collapsed="false">
      <c r="A12" s="222" t="s">
        <v>186</v>
      </c>
      <c r="B12" s="222"/>
      <c r="C12" s="224" t="n">
        <v>0.4</v>
      </c>
      <c r="D12" s="225"/>
      <c r="E12" s="226" t="n">
        <v>48000</v>
      </c>
      <c r="F12" s="226"/>
      <c r="G12" s="226"/>
      <c r="H12" s="226"/>
      <c r="I12" s="226" t="n">
        <f aca="false">SUM(E12:H12)</f>
        <v>48000</v>
      </c>
    </row>
    <row r="13" customFormat="false" ht="21.75" hidden="false" customHeight="true" outlineLevel="0" collapsed="false">
      <c r="A13" s="222" t="s">
        <v>187</v>
      </c>
      <c r="B13" s="222"/>
      <c r="C13" s="224" t="n">
        <v>0.2</v>
      </c>
      <c r="D13" s="225"/>
      <c r="E13" s="226" t="n">
        <v>24000</v>
      </c>
      <c r="F13" s="226"/>
      <c r="G13" s="226"/>
      <c r="H13" s="226"/>
      <c r="I13" s="226" t="n">
        <f aca="false">SUM(E13:H13)</f>
        <v>24000</v>
      </c>
    </row>
    <row r="14" customFormat="false" ht="21.75" hidden="false" customHeight="true" outlineLevel="0" collapsed="false">
      <c r="A14" s="222" t="s">
        <v>188</v>
      </c>
      <c r="B14" s="222"/>
      <c r="C14" s="224" t="n">
        <v>0.2</v>
      </c>
      <c r="D14" s="225"/>
      <c r="E14" s="226"/>
      <c r="F14" s="226" t="n">
        <v>24000</v>
      </c>
      <c r="G14" s="226"/>
      <c r="H14" s="226"/>
      <c r="I14" s="226" t="n">
        <f aca="false">SUM(E14:H14)</f>
        <v>24000</v>
      </c>
    </row>
    <row r="15" customFormat="false" ht="21.75" hidden="false" customHeight="true" outlineLevel="0" collapsed="false">
      <c r="A15" s="222" t="s">
        <v>189</v>
      </c>
      <c r="B15" s="222"/>
      <c r="C15" s="224" t="n">
        <v>0.2</v>
      </c>
      <c r="D15" s="231"/>
      <c r="E15" s="232"/>
      <c r="F15" s="232" t="n">
        <v>24000</v>
      </c>
      <c r="G15" s="232"/>
      <c r="H15" s="232"/>
      <c r="I15" s="226" t="n">
        <f aca="false">SUM(E15:H15)</f>
        <v>24000</v>
      </c>
      <c r="J15" s="233"/>
    </row>
    <row r="16" s="221" customFormat="true" ht="45.75" hidden="false" customHeight="true" outlineLevel="0" collapsed="false">
      <c r="A16" s="227" t="s">
        <v>116</v>
      </c>
      <c r="B16" s="216" t="n">
        <v>30000</v>
      </c>
      <c r="C16" s="228" t="n">
        <v>0.0136363636363636</v>
      </c>
      <c r="D16" s="229"/>
      <c r="E16" s="229"/>
      <c r="F16" s="229"/>
      <c r="G16" s="229"/>
      <c r="H16" s="230"/>
      <c r="I16" s="220"/>
    </row>
    <row r="17" customFormat="false" ht="21.75" hidden="false" customHeight="true" outlineLevel="0" collapsed="false">
      <c r="A17" s="222" t="s">
        <v>190</v>
      </c>
      <c r="B17" s="222"/>
      <c r="C17" s="224" t="n">
        <v>0.6</v>
      </c>
      <c r="D17" s="225"/>
      <c r="E17" s="226" t="n">
        <v>18000</v>
      </c>
      <c r="F17" s="226"/>
      <c r="G17" s="226"/>
      <c r="H17" s="226"/>
      <c r="I17" s="226" t="n">
        <f aca="false">SUM(E17:H17)</f>
        <v>18000</v>
      </c>
    </row>
    <row r="18" customFormat="false" ht="21.75" hidden="false" customHeight="true" outlineLevel="0" collapsed="false">
      <c r="A18" s="222" t="s">
        <v>191</v>
      </c>
      <c r="B18" s="222"/>
      <c r="C18" s="224" t="n">
        <v>0.4</v>
      </c>
      <c r="D18" s="225"/>
      <c r="E18" s="226" t="n">
        <v>12000</v>
      </c>
      <c r="F18" s="226"/>
      <c r="G18" s="226"/>
      <c r="H18" s="226"/>
      <c r="I18" s="226" t="n">
        <f aca="false">SUM(E18:H18)</f>
        <v>12000</v>
      </c>
    </row>
    <row r="19" customFormat="false" ht="21.75" hidden="false" customHeight="true" outlineLevel="0" collapsed="false">
      <c r="A19" s="222"/>
      <c r="B19" s="222"/>
      <c r="C19" s="224"/>
      <c r="D19" s="225"/>
      <c r="E19" s="226"/>
      <c r="F19" s="226"/>
      <c r="G19" s="226"/>
      <c r="H19" s="226"/>
      <c r="I19" s="226" t="n">
        <f aca="false">SUM(E19:H19)</f>
        <v>0</v>
      </c>
    </row>
    <row r="20" customFormat="false" ht="21.75" hidden="false" customHeight="true" outlineLevel="0" collapsed="false">
      <c r="A20" s="222"/>
      <c r="B20" s="222"/>
      <c r="C20" s="224"/>
      <c r="D20" s="231"/>
      <c r="E20" s="232"/>
      <c r="F20" s="232"/>
      <c r="G20" s="232"/>
      <c r="H20" s="232"/>
      <c r="I20" s="226" t="n">
        <f aca="false">SUM(E20:H20)</f>
        <v>0</v>
      </c>
      <c r="J20" s="233"/>
    </row>
    <row r="21" s="221" customFormat="true" ht="45.75" hidden="false" customHeight="true" outlineLevel="0" collapsed="false">
      <c r="A21" s="227" t="s">
        <v>119</v>
      </c>
      <c r="B21" s="216" t="n">
        <v>45000</v>
      </c>
      <c r="C21" s="228" t="n">
        <v>0.0204545454545455</v>
      </c>
      <c r="D21" s="229"/>
      <c r="E21" s="229"/>
      <c r="F21" s="229"/>
      <c r="G21" s="229"/>
      <c r="H21" s="230"/>
      <c r="I21" s="220"/>
    </row>
    <row r="22" customFormat="false" ht="21.75" hidden="false" customHeight="true" outlineLevel="0" collapsed="false">
      <c r="A22" s="222" t="s">
        <v>192</v>
      </c>
      <c r="B22" s="222"/>
      <c r="C22" s="224" t="n">
        <v>0.6</v>
      </c>
      <c r="D22" s="225"/>
      <c r="E22" s="226" t="n">
        <v>27000</v>
      </c>
      <c r="F22" s="226"/>
      <c r="G22" s="226"/>
      <c r="H22" s="226"/>
      <c r="I22" s="226" t="n">
        <f aca="false">SUM(E22:H22)</f>
        <v>27000</v>
      </c>
    </row>
    <row r="23" customFormat="false" ht="21.75" hidden="false" customHeight="true" outlineLevel="0" collapsed="false">
      <c r="A23" s="222" t="s">
        <v>193</v>
      </c>
      <c r="B23" s="222"/>
      <c r="C23" s="224" t="n">
        <v>0.4</v>
      </c>
      <c r="D23" s="225"/>
      <c r="E23" s="226"/>
      <c r="F23" s="226" t="n">
        <v>18000</v>
      </c>
      <c r="G23" s="226"/>
      <c r="H23" s="226"/>
      <c r="I23" s="226" t="n">
        <f aca="false">SUM(E23:H23)</f>
        <v>18000</v>
      </c>
    </row>
    <row r="24" customFormat="false" ht="21.75" hidden="false" customHeight="true" outlineLevel="0" collapsed="false">
      <c r="A24" s="222"/>
      <c r="B24" s="222"/>
      <c r="C24" s="224"/>
      <c r="D24" s="225"/>
      <c r="E24" s="226"/>
      <c r="F24" s="226"/>
      <c r="G24" s="226"/>
      <c r="H24" s="226"/>
      <c r="I24" s="226" t="n">
        <f aca="false">SUM(E24:H24)</f>
        <v>0</v>
      </c>
    </row>
    <row r="25" customFormat="false" ht="21.75" hidden="false" customHeight="true" outlineLevel="0" collapsed="false">
      <c r="A25" s="222"/>
      <c r="B25" s="222"/>
      <c r="C25" s="224"/>
      <c r="D25" s="231"/>
      <c r="E25" s="232"/>
      <c r="F25" s="232"/>
      <c r="G25" s="232"/>
      <c r="H25" s="232"/>
      <c r="I25" s="226" t="n">
        <f aca="false">SUM(E25:H25)</f>
        <v>0</v>
      </c>
      <c r="J25" s="233"/>
    </row>
    <row r="26" s="221" customFormat="true" ht="45.75" hidden="false" customHeight="true" outlineLevel="0" collapsed="false">
      <c r="A26" s="227" t="s">
        <v>121</v>
      </c>
      <c r="B26" s="216" t="n">
        <v>25000</v>
      </c>
      <c r="C26" s="228" t="n">
        <v>0.0113636363636364</v>
      </c>
      <c r="D26" s="229"/>
      <c r="E26" s="229"/>
      <c r="F26" s="229"/>
      <c r="G26" s="229"/>
      <c r="H26" s="230"/>
      <c r="I26" s="220"/>
    </row>
    <row r="27" customFormat="false" ht="21.75" hidden="false" customHeight="true" outlineLevel="0" collapsed="false">
      <c r="A27" s="222" t="s">
        <v>194</v>
      </c>
      <c r="B27" s="222"/>
      <c r="C27" s="224" t="n">
        <v>0.7</v>
      </c>
      <c r="D27" s="225"/>
      <c r="E27" s="226"/>
      <c r="F27" s="226" t="n">
        <v>17500</v>
      </c>
      <c r="G27" s="226"/>
      <c r="H27" s="226"/>
      <c r="I27" s="226" t="n">
        <f aca="false">SUM(E27:H27)</f>
        <v>17500</v>
      </c>
    </row>
    <row r="28" customFormat="false" ht="21.75" hidden="false" customHeight="true" outlineLevel="0" collapsed="false">
      <c r="A28" s="222" t="s">
        <v>195</v>
      </c>
      <c r="B28" s="222"/>
      <c r="C28" s="224" t="n">
        <v>0.3</v>
      </c>
      <c r="D28" s="225"/>
      <c r="E28" s="226"/>
      <c r="F28" s="226" t="n">
        <v>7500</v>
      </c>
      <c r="G28" s="226"/>
      <c r="H28" s="226"/>
      <c r="I28" s="226" t="n">
        <f aca="false">SUM(E28:H28)</f>
        <v>7500</v>
      </c>
    </row>
    <row r="29" customFormat="false" ht="21.75" hidden="false" customHeight="true" outlineLevel="0" collapsed="false">
      <c r="A29" s="222"/>
      <c r="B29" s="222"/>
      <c r="C29" s="224"/>
      <c r="D29" s="225"/>
      <c r="E29" s="226"/>
      <c r="F29" s="226"/>
      <c r="G29" s="226"/>
      <c r="H29" s="226"/>
      <c r="I29" s="226" t="n">
        <f aca="false">SUM(E29:H29)</f>
        <v>0</v>
      </c>
    </row>
    <row r="30" customFormat="false" ht="21.75" hidden="false" customHeight="true" outlineLevel="0" collapsed="false">
      <c r="A30" s="222"/>
      <c r="B30" s="222"/>
      <c r="C30" s="224"/>
      <c r="D30" s="231"/>
      <c r="E30" s="232"/>
      <c r="F30" s="232"/>
      <c r="G30" s="232"/>
      <c r="H30" s="232"/>
      <c r="I30" s="226" t="n">
        <f aca="false">SUM(E30:H30)</f>
        <v>0</v>
      </c>
      <c r="J30" s="233"/>
    </row>
    <row r="31" s="221" customFormat="true" ht="45.75" hidden="false" customHeight="true" outlineLevel="0" collapsed="false">
      <c r="A31" s="227" t="s">
        <v>196</v>
      </c>
      <c r="B31" s="216" t="n">
        <v>90000</v>
      </c>
      <c r="C31" s="228" t="n">
        <v>0.0409090909090909</v>
      </c>
      <c r="D31" s="229"/>
      <c r="E31" s="229"/>
      <c r="F31" s="229"/>
      <c r="G31" s="229"/>
      <c r="H31" s="230"/>
      <c r="I31" s="220"/>
    </row>
    <row r="32" customFormat="false" ht="21.75" hidden="false" customHeight="true" outlineLevel="0" collapsed="false">
      <c r="A32" s="222" t="s">
        <v>197</v>
      </c>
      <c r="B32" s="222"/>
      <c r="C32" s="224" t="n">
        <v>0.55</v>
      </c>
      <c r="D32" s="225"/>
      <c r="E32" s="226" t="n">
        <v>49500</v>
      </c>
      <c r="F32" s="226"/>
      <c r="G32" s="226"/>
      <c r="H32" s="226"/>
      <c r="I32" s="226" t="n">
        <f aca="false">SUM(E32:H32)</f>
        <v>49500</v>
      </c>
    </row>
    <row r="33" customFormat="false" ht="21.75" hidden="false" customHeight="true" outlineLevel="0" collapsed="false">
      <c r="A33" s="222" t="s">
        <v>198</v>
      </c>
      <c r="B33" s="222"/>
      <c r="C33" s="224" t="n">
        <v>0.25</v>
      </c>
      <c r="D33" s="225"/>
      <c r="E33" s="226"/>
      <c r="F33" s="226" t="n">
        <v>22500</v>
      </c>
      <c r="G33" s="226"/>
      <c r="H33" s="226"/>
      <c r="I33" s="226" t="n">
        <f aca="false">SUM(E33:H33)</f>
        <v>22500</v>
      </c>
    </row>
    <row r="34" customFormat="false" ht="21.75" hidden="false" customHeight="true" outlineLevel="0" collapsed="false">
      <c r="A34" s="222" t="s">
        <v>199</v>
      </c>
      <c r="B34" s="222"/>
      <c r="C34" s="224" t="n">
        <v>0.2</v>
      </c>
      <c r="D34" s="225"/>
      <c r="E34" s="226"/>
      <c r="F34" s="226" t="n">
        <v>18000</v>
      </c>
      <c r="G34" s="226"/>
      <c r="H34" s="226"/>
      <c r="I34" s="226" t="n">
        <f aca="false">SUM(E34:H34)</f>
        <v>18000</v>
      </c>
    </row>
    <row r="35" customFormat="false" ht="21.75" hidden="false" customHeight="true" outlineLevel="0" collapsed="false">
      <c r="A35" s="222"/>
      <c r="B35" s="222"/>
      <c r="C35" s="224"/>
      <c r="D35" s="231"/>
      <c r="E35" s="232"/>
      <c r="F35" s="232"/>
      <c r="G35" s="232"/>
      <c r="H35" s="232"/>
      <c r="I35" s="226" t="n">
        <f aca="false">SUM(E35:H35)</f>
        <v>0</v>
      </c>
      <c r="J35" s="233"/>
    </row>
    <row r="36" s="221" customFormat="true" ht="45.75" hidden="false" customHeight="true" outlineLevel="0" collapsed="false">
      <c r="A36" s="227" t="s">
        <v>200</v>
      </c>
      <c r="B36" s="216" t="n">
        <v>200000</v>
      </c>
      <c r="C36" s="228" t="n">
        <v>0.0909090909090909</v>
      </c>
      <c r="D36" s="229"/>
      <c r="E36" s="229"/>
      <c r="F36" s="229"/>
      <c r="G36" s="229"/>
      <c r="H36" s="230"/>
      <c r="I36" s="220"/>
    </row>
    <row r="37" customFormat="false" ht="21.75" hidden="false" customHeight="true" outlineLevel="0" collapsed="false">
      <c r="A37" s="222" t="s">
        <v>201</v>
      </c>
      <c r="B37" s="222"/>
      <c r="C37" s="224" t="n">
        <v>0.4</v>
      </c>
      <c r="D37" s="225"/>
      <c r="E37" s="226" t="n">
        <v>80000</v>
      </c>
      <c r="F37" s="226"/>
      <c r="G37" s="226"/>
      <c r="H37" s="226"/>
      <c r="I37" s="226" t="n">
        <f aca="false">SUM(E37:H37)</f>
        <v>80000</v>
      </c>
    </row>
    <row r="38" customFormat="false" ht="21.75" hidden="false" customHeight="true" outlineLevel="0" collapsed="false">
      <c r="A38" s="222" t="s">
        <v>202</v>
      </c>
      <c r="B38" s="222"/>
      <c r="C38" s="224" t="n">
        <v>0.35</v>
      </c>
      <c r="D38" s="225"/>
      <c r="E38" s="226"/>
      <c r="F38" s="226" t="n">
        <v>70000</v>
      </c>
      <c r="G38" s="226"/>
      <c r="H38" s="226"/>
      <c r="I38" s="226" t="n">
        <f aca="false">SUM(E38:H38)</f>
        <v>70000</v>
      </c>
    </row>
    <row r="39" customFormat="false" ht="21.75" hidden="false" customHeight="true" outlineLevel="0" collapsed="false">
      <c r="A39" s="222" t="s">
        <v>203</v>
      </c>
      <c r="B39" s="222"/>
      <c r="C39" s="224" t="n">
        <v>0.25</v>
      </c>
      <c r="D39" s="225"/>
      <c r="E39" s="226"/>
      <c r="F39" s="226"/>
      <c r="G39" s="226" t="n">
        <v>50000</v>
      </c>
      <c r="H39" s="226"/>
      <c r="I39" s="226" t="n">
        <f aca="false">SUM(E39:H39)</f>
        <v>50000</v>
      </c>
    </row>
    <row r="40" customFormat="false" ht="21.75" hidden="false" customHeight="true" outlineLevel="0" collapsed="false">
      <c r="A40" s="222"/>
      <c r="B40" s="222"/>
      <c r="C40" s="224"/>
      <c r="D40" s="231"/>
      <c r="E40" s="232"/>
      <c r="F40" s="232"/>
      <c r="G40" s="232"/>
      <c r="H40" s="232"/>
      <c r="I40" s="226" t="n">
        <f aca="false">SUM(E40:H40)</f>
        <v>0</v>
      </c>
      <c r="J40" s="233"/>
    </row>
    <row r="41" customFormat="false" ht="21.75" hidden="false" customHeight="true" outlineLevel="0" collapsed="false">
      <c r="A41" s="227" t="s">
        <v>204</v>
      </c>
      <c r="B41" s="216" t="n">
        <v>228000</v>
      </c>
      <c r="C41" s="228" t="n">
        <v>0.103636363636364</v>
      </c>
      <c r="D41" s="229"/>
      <c r="E41" s="229"/>
      <c r="F41" s="229"/>
      <c r="G41" s="229"/>
      <c r="H41" s="230"/>
      <c r="I41" s="220"/>
      <c r="J41" s="233"/>
    </row>
    <row r="42" customFormat="false" ht="21.75" hidden="false" customHeight="true" outlineLevel="0" collapsed="false">
      <c r="A42" s="222" t="s">
        <v>205</v>
      </c>
      <c r="B42" s="222"/>
      <c r="C42" s="224" t="n">
        <v>0.25</v>
      </c>
      <c r="D42" s="225"/>
      <c r="E42" s="226" t="n">
        <v>57000</v>
      </c>
      <c r="F42" s="226"/>
      <c r="G42" s="226"/>
      <c r="H42" s="226"/>
      <c r="I42" s="226" t="n">
        <f aca="false">SUM(E42:H42)</f>
        <v>57000</v>
      </c>
      <c r="J42" s="233"/>
    </row>
    <row r="43" customFormat="false" ht="21.75" hidden="false" customHeight="true" outlineLevel="0" collapsed="false">
      <c r="A43" s="222" t="s">
        <v>206</v>
      </c>
      <c r="B43" s="222"/>
      <c r="C43" s="224" t="n">
        <v>0.55</v>
      </c>
      <c r="D43" s="225"/>
      <c r="E43" s="226"/>
      <c r="F43" s="226" t="n">
        <v>125400</v>
      </c>
      <c r="G43" s="226"/>
      <c r="H43" s="226"/>
      <c r="I43" s="226" t="n">
        <f aca="false">SUM(E43:H43)</f>
        <v>125400</v>
      </c>
      <c r="J43" s="233"/>
    </row>
    <row r="44" customFormat="false" ht="21.75" hidden="false" customHeight="true" outlineLevel="0" collapsed="false">
      <c r="A44" s="222" t="s">
        <v>207</v>
      </c>
      <c r="B44" s="222"/>
      <c r="C44" s="224" t="n">
        <v>0.2</v>
      </c>
      <c r="D44" s="225"/>
      <c r="E44" s="226"/>
      <c r="F44" s="226"/>
      <c r="G44" s="226" t="n">
        <v>45600</v>
      </c>
      <c r="H44" s="226"/>
      <c r="I44" s="226" t="n">
        <f aca="false">SUM(E44:H44)</f>
        <v>45600</v>
      </c>
      <c r="J44" s="233"/>
    </row>
    <row r="45" customFormat="false" ht="21.75" hidden="false" customHeight="true" outlineLevel="0" collapsed="false">
      <c r="A45" s="222"/>
      <c r="B45" s="222"/>
      <c r="C45" s="224"/>
      <c r="D45" s="231"/>
      <c r="E45" s="232"/>
      <c r="F45" s="232"/>
      <c r="G45" s="232"/>
      <c r="H45" s="232"/>
      <c r="I45" s="226" t="n">
        <f aca="false">SUM(E45:H45)</f>
        <v>0</v>
      </c>
      <c r="J45" s="233"/>
    </row>
    <row r="46" customFormat="false" ht="21.75" hidden="false" customHeight="true" outlineLevel="0" collapsed="false">
      <c r="A46" s="227" t="s">
        <v>208</v>
      </c>
      <c r="B46" s="216" t="n">
        <v>700000</v>
      </c>
      <c r="C46" s="228" t="n">
        <v>0.318181818181818</v>
      </c>
      <c r="D46" s="229"/>
      <c r="E46" s="229"/>
      <c r="F46" s="229"/>
      <c r="G46" s="229"/>
      <c r="H46" s="230"/>
      <c r="I46" s="220"/>
      <c r="J46" s="233"/>
    </row>
    <row r="47" customFormat="false" ht="21.75" hidden="false" customHeight="true" outlineLevel="0" collapsed="false">
      <c r="A47" s="222" t="s">
        <v>209</v>
      </c>
      <c r="B47" s="222"/>
      <c r="C47" s="224" t="n">
        <v>0.4</v>
      </c>
      <c r="D47" s="225"/>
      <c r="E47" s="226"/>
      <c r="F47" s="226" t="n">
        <v>280000</v>
      </c>
      <c r="G47" s="226"/>
      <c r="H47" s="226"/>
      <c r="I47" s="226" t="n">
        <f aca="false">SUM(E47:H47)</f>
        <v>280000</v>
      </c>
      <c r="J47" s="233"/>
    </row>
    <row r="48" customFormat="false" ht="21.75" hidden="false" customHeight="true" outlineLevel="0" collapsed="false">
      <c r="A48" s="222" t="s">
        <v>210</v>
      </c>
      <c r="B48" s="222"/>
      <c r="C48" s="224" t="n">
        <v>0.45</v>
      </c>
      <c r="D48" s="225"/>
      <c r="E48" s="226"/>
      <c r="F48" s="226"/>
      <c r="G48" s="226" t="n">
        <v>315000</v>
      </c>
      <c r="H48" s="226"/>
      <c r="I48" s="226" t="n">
        <f aca="false">SUM(E48:H48)</f>
        <v>315000</v>
      </c>
      <c r="J48" s="233"/>
    </row>
    <row r="49" customFormat="false" ht="21.75" hidden="false" customHeight="true" outlineLevel="0" collapsed="false">
      <c r="A49" s="222" t="s">
        <v>211</v>
      </c>
      <c r="B49" s="222"/>
      <c r="C49" s="224" t="n">
        <v>0.15</v>
      </c>
      <c r="D49" s="225"/>
      <c r="E49" s="226"/>
      <c r="F49" s="226"/>
      <c r="G49" s="226" t="n">
        <v>105000</v>
      </c>
      <c r="H49" s="226"/>
      <c r="I49" s="226" t="n">
        <f aca="false">SUM(E49:H49)</f>
        <v>105000</v>
      </c>
      <c r="J49" s="233"/>
    </row>
    <row r="50" customFormat="false" ht="21.75" hidden="false" customHeight="true" outlineLevel="0" collapsed="false">
      <c r="A50" s="222"/>
      <c r="B50" s="222"/>
      <c r="C50" s="224"/>
      <c r="D50" s="231"/>
      <c r="E50" s="232"/>
      <c r="F50" s="232"/>
      <c r="G50" s="232"/>
      <c r="H50" s="232"/>
      <c r="I50" s="226" t="n">
        <f aca="false">SUM(E50:H50)</f>
        <v>0</v>
      </c>
      <c r="J50" s="233"/>
    </row>
    <row r="51" customFormat="false" ht="21.75" hidden="false" customHeight="true" outlineLevel="0" collapsed="false">
      <c r="A51" s="227" t="s">
        <v>212</v>
      </c>
      <c r="B51" s="216" t="n">
        <v>392000</v>
      </c>
      <c r="C51" s="228" t="n">
        <v>0.178181818181818</v>
      </c>
      <c r="D51" s="229"/>
      <c r="E51" s="229"/>
      <c r="F51" s="229"/>
      <c r="G51" s="229"/>
      <c r="H51" s="230"/>
      <c r="I51" s="220"/>
      <c r="J51" s="233"/>
    </row>
    <row r="52" customFormat="false" ht="21.75" hidden="false" customHeight="true" outlineLevel="0" collapsed="false">
      <c r="A52" s="222" t="s">
        <v>213</v>
      </c>
      <c r="B52" s="222"/>
      <c r="C52" s="224" t="n">
        <v>0.35</v>
      </c>
      <c r="D52" s="225"/>
      <c r="E52" s="226" t="n">
        <v>137200</v>
      </c>
      <c r="F52" s="226"/>
      <c r="G52" s="226"/>
      <c r="H52" s="226"/>
      <c r="I52" s="226" t="n">
        <f aca="false">SUM(E52:H52)</f>
        <v>137200</v>
      </c>
      <c r="J52" s="233"/>
    </row>
    <row r="53" customFormat="false" ht="21.75" hidden="false" customHeight="true" outlineLevel="0" collapsed="false">
      <c r="A53" s="222" t="s">
        <v>214</v>
      </c>
      <c r="B53" s="222"/>
      <c r="C53" s="224" t="n">
        <v>0.3</v>
      </c>
      <c r="D53" s="225"/>
      <c r="E53" s="226"/>
      <c r="F53" s="226" t="n">
        <v>117600</v>
      </c>
      <c r="G53" s="226"/>
      <c r="H53" s="226"/>
      <c r="I53" s="226" t="n">
        <f aca="false">SUM(E53:H53)</f>
        <v>117600</v>
      </c>
      <c r="J53" s="233"/>
    </row>
    <row r="54" customFormat="false" ht="21.75" hidden="false" customHeight="true" outlineLevel="0" collapsed="false">
      <c r="A54" s="222" t="s">
        <v>215</v>
      </c>
      <c r="B54" s="222"/>
      <c r="C54" s="224" t="n">
        <v>0.2</v>
      </c>
      <c r="D54" s="225"/>
      <c r="E54" s="226"/>
      <c r="F54" s="226" t="n">
        <v>78400</v>
      </c>
      <c r="G54" s="226"/>
      <c r="H54" s="226"/>
      <c r="I54" s="226" t="n">
        <f aca="false">SUM(E54:H54)</f>
        <v>78400</v>
      </c>
      <c r="J54" s="233"/>
    </row>
    <row r="55" customFormat="false" ht="21.75" hidden="false" customHeight="true" outlineLevel="0" collapsed="false">
      <c r="A55" s="222" t="s">
        <v>216</v>
      </c>
      <c r="B55" s="222"/>
      <c r="C55" s="224" t="n">
        <v>0.15</v>
      </c>
      <c r="D55" s="231"/>
      <c r="E55" s="232"/>
      <c r="F55" s="232"/>
      <c r="G55" s="232" t="n">
        <v>58800</v>
      </c>
      <c r="H55" s="232"/>
      <c r="I55" s="226" t="n">
        <f aca="false">SUM(E55:H55)</f>
        <v>58800</v>
      </c>
      <c r="J55" s="233"/>
    </row>
    <row r="56" customFormat="false" ht="21.75" hidden="false" customHeight="true" outlineLevel="0" collapsed="false">
      <c r="A56" s="227" t="s">
        <v>217</v>
      </c>
      <c r="B56" s="216" t="n">
        <v>110000</v>
      </c>
      <c r="C56" s="228" t="n">
        <v>0.05</v>
      </c>
      <c r="D56" s="229"/>
      <c r="E56" s="229"/>
      <c r="F56" s="229"/>
      <c r="G56" s="229"/>
      <c r="H56" s="230"/>
      <c r="I56" s="220"/>
      <c r="J56" s="233"/>
    </row>
    <row r="57" customFormat="false" ht="21.75" hidden="false" customHeight="true" outlineLevel="0" collapsed="false">
      <c r="A57" s="222" t="s">
        <v>218</v>
      </c>
      <c r="B57" s="222"/>
      <c r="C57" s="224" t="n">
        <v>0.45</v>
      </c>
      <c r="D57" s="225"/>
      <c r="E57" s="226"/>
      <c r="F57" s="226" t="n">
        <v>49500</v>
      </c>
      <c r="G57" s="226"/>
      <c r="H57" s="226"/>
      <c r="I57" s="226" t="n">
        <f aca="false">SUM(E57:H57)</f>
        <v>49500</v>
      </c>
      <c r="J57" s="233"/>
    </row>
    <row r="58" customFormat="false" ht="21.75" hidden="false" customHeight="true" outlineLevel="0" collapsed="false">
      <c r="A58" s="222" t="s">
        <v>219</v>
      </c>
      <c r="B58" s="222"/>
      <c r="C58" s="224" t="n">
        <v>0.35</v>
      </c>
      <c r="D58" s="225"/>
      <c r="E58" s="226"/>
      <c r="F58" s="226"/>
      <c r="G58" s="226" t="n">
        <v>38500</v>
      </c>
      <c r="H58" s="226"/>
      <c r="I58" s="226" t="n">
        <f aca="false">SUM(E58:H58)</f>
        <v>38500</v>
      </c>
      <c r="J58" s="233"/>
    </row>
    <row r="59" customFormat="false" ht="21.75" hidden="false" customHeight="true" outlineLevel="0" collapsed="false">
      <c r="A59" s="222" t="s">
        <v>220</v>
      </c>
      <c r="B59" s="222"/>
      <c r="C59" s="224" t="n">
        <v>0.2</v>
      </c>
      <c r="D59" s="225"/>
      <c r="E59" s="226"/>
      <c r="F59" s="226"/>
      <c r="G59" s="226" t="n">
        <v>22000</v>
      </c>
      <c r="H59" s="226"/>
      <c r="I59" s="226" t="n">
        <f aca="false">SUM(E59:H59)</f>
        <v>22000</v>
      </c>
      <c r="J59" s="233"/>
    </row>
    <row r="60" customFormat="false" ht="21.75" hidden="false" customHeight="true" outlineLevel="0" collapsed="false">
      <c r="A60" s="222"/>
      <c r="B60" s="222"/>
      <c r="C60" s="224"/>
      <c r="D60" s="231"/>
      <c r="E60" s="232"/>
      <c r="F60" s="232"/>
      <c r="G60" s="232"/>
      <c r="H60" s="232"/>
      <c r="I60" s="226" t="n">
        <f aca="false">SUM(E60:H60)</f>
        <v>0</v>
      </c>
      <c r="J60" s="233"/>
    </row>
    <row r="61" customFormat="false" ht="21.75" hidden="false" customHeight="true" outlineLevel="0" collapsed="false">
      <c r="A61" s="227" t="s">
        <v>221</v>
      </c>
      <c r="B61" s="216" t="n">
        <v>65000</v>
      </c>
      <c r="C61" s="228" t="n">
        <v>0.0295454545454545</v>
      </c>
      <c r="D61" s="229"/>
      <c r="E61" s="229"/>
      <c r="F61" s="229"/>
      <c r="G61" s="229"/>
      <c r="H61" s="230"/>
      <c r="I61" s="220"/>
      <c r="J61" s="233"/>
    </row>
    <row r="62" customFormat="false" ht="21.75" hidden="false" customHeight="true" outlineLevel="0" collapsed="false">
      <c r="A62" s="222" t="s">
        <v>222</v>
      </c>
      <c r="B62" s="222"/>
      <c r="C62" s="224" t="n">
        <v>0.55</v>
      </c>
      <c r="D62" s="225"/>
      <c r="E62" s="226"/>
      <c r="F62" s="226" t="n">
        <v>35750</v>
      </c>
      <c r="G62" s="226"/>
      <c r="H62" s="226"/>
      <c r="I62" s="226" t="n">
        <f aca="false">SUM(E62:H62)</f>
        <v>35750</v>
      </c>
      <c r="J62" s="233"/>
    </row>
    <row r="63" customFormat="false" ht="21.75" hidden="false" customHeight="true" outlineLevel="0" collapsed="false">
      <c r="A63" s="222" t="s">
        <v>223</v>
      </c>
      <c r="B63" s="222"/>
      <c r="C63" s="224" t="n">
        <v>0.45</v>
      </c>
      <c r="D63" s="225"/>
      <c r="E63" s="226"/>
      <c r="F63" s="226"/>
      <c r="G63" s="226" t="n">
        <v>29250</v>
      </c>
      <c r="H63" s="226"/>
      <c r="I63" s="226" t="n">
        <f aca="false">SUM(E63:H63)</f>
        <v>29250</v>
      </c>
      <c r="J63" s="233"/>
    </row>
    <row r="64" customFormat="false" ht="21.75" hidden="false" customHeight="true" outlineLevel="0" collapsed="false">
      <c r="A64" s="222"/>
      <c r="B64" s="222"/>
      <c r="C64" s="224"/>
      <c r="D64" s="225"/>
      <c r="E64" s="226"/>
      <c r="F64" s="226"/>
      <c r="G64" s="226"/>
      <c r="H64" s="226"/>
      <c r="I64" s="226" t="n">
        <f aca="false">SUM(E64:H64)</f>
        <v>0</v>
      </c>
      <c r="J64" s="233"/>
    </row>
    <row r="65" customFormat="false" ht="21.75" hidden="false" customHeight="true" outlineLevel="0" collapsed="false">
      <c r="A65" s="222"/>
      <c r="B65" s="222"/>
      <c r="C65" s="224"/>
      <c r="D65" s="231"/>
      <c r="E65" s="232"/>
      <c r="F65" s="232"/>
      <c r="G65" s="232"/>
      <c r="H65" s="232"/>
      <c r="I65" s="226" t="n">
        <f aca="false">SUM(E65:H65)</f>
        <v>0</v>
      </c>
      <c r="J65" s="233"/>
    </row>
    <row r="66" customFormat="false" ht="21.75" hidden="false" customHeight="true" outlineLevel="0" collapsed="false">
      <c r="A66" s="227" t="s">
        <v>224</v>
      </c>
      <c r="B66" s="216" t="n">
        <v>45000</v>
      </c>
      <c r="C66" s="228" t="n">
        <v>0.0204545454545455</v>
      </c>
      <c r="D66" s="229"/>
      <c r="E66" s="229"/>
      <c r="F66" s="229"/>
      <c r="G66" s="229"/>
      <c r="H66" s="230"/>
      <c r="I66" s="220"/>
      <c r="J66" s="233"/>
    </row>
    <row r="67" customFormat="false" ht="21.75" hidden="false" customHeight="true" outlineLevel="0" collapsed="false">
      <c r="A67" s="222" t="s">
        <v>225</v>
      </c>
      <c r="B67" s="222"/>
      <c r="C67" s="224" t="n">
        <v>0.5</v>
      </c>
      <c r="D67" s="225"/>
      <c r="E67" s="226"/>
      <c r="F67" s="226"/>
      <c r="G67" s="226" t="n">
        <v>22500</v>
      </c>
      <c r="H67" s="226"/>
      <c r="I67" s="226" t="n">
        <f aca="false">SUM(E67:H67)</f>
        <v>22500</v>
      </c>
      <c r="J67" s="233"/>
    </row>
    <row r="68" customFormat="false" ht="21.75" hidden="false" customHeight="true" outlineLevel="0" collapsed="false">
      <c r="A68" s="222" t="s">
        <v>226</v>
      </c>
      <c r="B68" s="222"/>
      <c r="C68" s="224" t="n">
        <v>0.3</v>
      </c>
      <c r="D68" s="225"/>
      <c r="E68" s="226"/>
      <c r="F68" s="226"/>
      <c r="G68" s="226" t="n">
        <v>13500</v>
      </c>
      <c r="H68" s="226"/>
      <c r="I68" s="226" t="n">
        <f aca="false">SUM(E68:H68)</f>
        <v>13500</v>
      </c>
      <c r="J68" s="233"/>
    </row>
    <row r="69" customFormat="false" ht="21.75" hidden="false" customHeight="true" outlineLevel="0" collapsed="false">
      <c r="A69" s="222" t="s">
        <v>227</v>
      </c>
      <c r="B69" s="222"/>
      <c r="C69" s="224" t="n">
        <v>0.2</v>
      </c>
      <c r="D69" s="225"/>
      <c r="E69" s="226"/>
      <c r="F69" s="226"/>
      <c r="G69" s="226" t="n">
        <v>9000</v>
      </c>
      <c r="H69" s="226"/>
      <c r="I69" s="226" t="n">
        <f aca="false">SUM(E69:H69)</f>
        <v>9000</v>
      </c>
      <c r="J69" s="233"/>
    </row>
    <row r="70" customFormat="false" ht="21.75" hidden="false" customHeight="true" outlineLevel="0" collapsed="false">
      <c r="A70" s="222"/>
      <c r="B70" s="222"/>
      <c r="C70" s="224"/>
      <c r="D70" s="231"/>
      <c r="E70" s="232"/>
      <c r="F70" s="232"/>
      <c r="G70" s="232"/>
      <c r="H70" s="232"/>
      <c r="I70" s="226" t="n">
        <f aca="false">SUM(E70:H70)</f>
        <v>0</v>
      </c>
      <c r="J70" s="233"/>
    </row>
    <row r="71" customFormat="false" ht="21.75" hidden="false" customHeight="true" outlineLevel="0" collapsed="false">
      <c r="A71" s="234" t="s">
        <v>152</v>
      </c>
      <c r="B71" s="235"/>
      <c r="C71" s="236"/>
      <c r="D71" s="237"/>
      <c r="E71" s="237" t="n">
        <f aca="false">SUM(E6:E70)</f>
        <v>565200</v>
      </c>
      <c r="F71" s="237" t="n">
        <f aca="false">SUM(F6:F70)</f>
        <v>925650</v>
      </c>
      <c r="G71" s="237" t="n">
        <f aca="false">SUM(G6:G70)</f>
        <v>709150</v>
      </c>
      <c r="H71" s="237" t="n">
        <f aca="false">SUM(H6:H70)</f>
        <v>0</v>
      </c>
      <c r="I71" s="238" t="n">
        <f aca="false">SUM(I6:I70)</f>
        <v>2200000</v>
      </c>
      <c r="J71" s="233"/>
    </row>
    <row r="72" customFormat="false" ht="21.75" hidden="false" customHeight="true" outlineLevel="0" collapsed="false">
      <c r="A72" s="239" t="s">
        <v>153</v>
      </c>
      <c r="B72" s="240"/>
      <c r="C72" s="241"/>
      <c r="D72" s="240"/>
      <c r="E72" s="223"/>
      <c r="F72" s="223"/>
      <c r="G72" s="223" t="n">
        <f aca="false">'Budget Plan'!J65</f>
        <v>60000</v>
      </c>
      <c r="H72" s="223"/>
      <c r="I72" s="226" t="n">
        <f aca="false">SUM(E72:H72)</f>
        <v>60000</v>
      </c>
    </row>
    <row r="73" customFormat="false" ht="21.75" hidden="false" customHeight="true" outlineLevel="0" collapsed="false">
      <c r="A73" s="239" t="s">
        <v>228</v>
      </c>
      <c r="B73" s="240"/>
      <c r="C73" s="241"/>
      <c r="D73" s="242"/>
      <c r="E73" s="223" t="n">
        <f aca="false">'Budget Plan'!J70/3</f>
        <v>56000</v>
      </c>
      <c r="F73" s="223" t="n">
        <f aca="false">'Budget Plan'!J70/3</f>
        <v>56000</v>
      </c>
      <c r="G73" s="223" t="n">
        <f aca="false">'Budget Plan'!J70/3</f>
        <v>56000</v>
      </c>
      <c r="H73" s="223" t="n">
        <f aca="false">0</f>
        <v>0</v>
      </c>
      <c r="I73" s="226" t="n">
        <f aca="false">SUM(E73:H73)</f>
        <v>168000</v>
      </c>
    </row>
    <row r="74" customFormat="false" ht="21.75" hidden="false" customHeight="true" outlineLevel="0" collapsed="false">
      <c r="A74" s="239" t="s">
        <v>229</v>
      </c>
      <c r="B74" s="240"/>
      <c r="C74" s="241"/>
      <c r="D74" s="242"/>
      <c r="E74" s="223" t="n">
        <f aca="false">'Budget Plan'!O79/3</f>
        <v>22600</v>
      </c>
      <c r="F74" s="223" t="n">
        <f aca="false">'Budget Plan'!O79/3</f>
        <v>22600</v>
      </c>
      <c r="G74" s="223" t="n">
        <f aca="false">'Budget Plan'!O79/3</f>
        <v>22600</v>
      </c>
      <c r="H74" s="223" t="n">
        <f aca="false">0</f>
        <v>0</v>
      </c>
      <c r="I74" s="226" t="n">
        <f aca="false">SUM(E74:H74)</f>
        <v>67800</v>
      </c>
    </row>
    <row r="75" customFormat="false" ht="21.75" hidden="false" customHeight="true" outlineLevel="0" collapsed="false">
      <c r="A75" s="239" t="s">
        <v>230</v>
      </c>
      <c r="B75" s="240"/>
      <c r="C75" s="241"/>
      <c r="D75" s="243"/>
      <c r="E75" s="223" t="n">
        <f aca="false">'Budget Plan'!J83*('Disbursement Schedule'!E71+'Disbursement Schedule'!E72+'Disbursement Schedule'!E73+'Disbursement Schedule'!E74)</f>
        <v>32190</v>
      </c>
      <c r="F75" s="223" t="n">
        <f aca="false">'Budget Plan'!J83*(F71+F72+F73+F74)</f>
        <v>50212.5</v>
      </c>
      <c r="G75" s="223" t="n">
        <f aca="false">'Budget Plan'!J83*(G71+G72+G73+G74)</f>
        <v>42387.5</v>
      </c>
      <c r="H75" s="223" t="n">
        <f aca="false">'Budget Plan'!J83*(H71+H72+H73+H74)</f>
        <v>0</v>
      </c>
      <c r="I75" s="226" t="n">
        <f aca="false">SUM(E75:H75)</f>
        <v>124790</v>
      </c>
      <c r="J75" s="244"/>
    </row>
    <row r="76" customFormat="false" ht="21.75" hidden="false" customHeight="true" outlineLevel="0" collapsed="false">
      <c r="A76" s="245" t="s">
        <v>231</v>
      </c>
      <c r="B76" s="245"/>
      <c r="C76" s="246"/>
      <c r="D76" s="245"/>
      <c r="E76" s="245" t="n">
        <f aca="false">SUM(E71:E75)</f>
        <v>675990</v>
      </c>
      <c r="F76" s="245" t="n">
        <f aca="false">SUM(F71:F75)</f>
        <v>1054462.5</v>
      </c>
      <c r="G76" s="245" t="n">
        <f aca="false">SUM(G71:G75)</f>
        <v>890137.5</v>
      </c>
      <c r="H76" s="245" t="n">
        <f aca="false">SUM(H71:H75)</f>
        <v>0</v>
      </c>
      <c r="I76" s="245" t="n">
        <f aca="false">SUM(I71:I75)</f>
        <v>2620590</v>
      </c>
    </row>
    <row r="77" customFormat="false" ht="16.5" hidden="false" customHeight="true" outlineLevel="0" collapsed="false">
      <c r="A77" s="243"/>
      <c r="B77" s="243"/>
      <c r="C77" s="247"/>
      <c r="D77" s="248"/>
      <c r="E77" s="248" t="s">
        <v>176</v>
      </c>
      <c r="F77" s="248" t="s">
        <v>177</v>
      </c>
      <c r="G77" s="248" t="s">
        <v>178</v>
      </c>
      <c r="H77" s="248" t="s">
        <v>19</v>
      </c>
      <c r="I77" s="248"/>
    </row>
    <row r="78" customFormat="false" ht="16.5" hidden="false" customHeight="true" outlineLevel="0" collapsed="false">
      <c r="A78" s="249"/>
      <c r="B78" s="249"/>
      <c r="C78" s="250"/>
      <c r="D78" s="251"/>
      <c r="E78" s="251"/>
      <c r="F78" s="251"/>
      <c r="G78" s="251"/>
      <c r="H78" s="251"/>
      <c r="I78" s="251"/>
    </row>
    <row r="79" customFormat="false" ht="16.5" hidden="false" customHeight="true" outlineLevel="0" collapsed="false">
      <c r="A79" s="252" t="s">
        <v>232</v>
      </c>
      <c r="B79" s="253"/>
      <c r="C79" s="254"/>
      <c r="D79" s="150"/>
      <c r="E79" s="150"/>
      <c r="F79" s="150"/>
      <c r="G79" s="150"/>
      <c r="H79" s="150"/>
      <c r="I79" s="150"/>
    </row>
    <row r="80" customFormat="false" ht="22.5" hidden="false" customHeight="true" outlineLevel="0" collapsed="false">
      <c r="A80" s="155"/>
      <c r="B80" s="155"/>
      <c r="C80" s="255"/>
      <c r="D80" s="155"/>
      <c r="E80" s="155"/>
      <c r="F80" s="155"/>
      <c r="G80" s="155"/>
      <c r="H80" s="155"/>
      <c r="I80" s="155"/>
    </row>
    <row r="81" s="122" customFormat="true" ht="22.5" hidden="false" customHeight="true" outlineLevel="0" collapsed="false">
      <c r="C81" s="256"/>
    </row>
    <row r="82" customFormat="false" ht="27.75" hidden="false" customHeight="true" outlineLevel="0" collapsed="false"/>
    <row r="83" customFormat="false" ht="27.75" hidden="false" customHeight="true" outlineLevel="0" collapsed="false"/>
    <row r="84" customFormat="false" ht="27.75" hidden="false" customHeight="true" outlineLevel="0" collapsed="false"/>
    <row r="85" customFormat="false" ht="27.75" hidden="false" customHeight="true" outlineLevel="0" collapsed="false"/>
    <row r="86" customFormat="false" ht="27.75" hidden="false" customHeight="true" outlineLevel="0" collapsed="false"/>
    <row r="87" customFormat="false" ht="27.75" hidden="false" customHeight="true" outlineLevel="0" collapsed="false"/>
    <row r="88" customFormat="false" ht="27.75" hidden="false" customHeight="true" outlineLevel="0" collapsed="false"/>
    <row r="89" customFormat="false" ht="27.75" hidden="false" customHeight="true" outlineLevel="0" collapsed="false"/>
    <row r="90" customFormat="false" ht="27.75" hidden="false" customHeight="true" outlineLevel="0" collapsed="false"/>
    <row r="91" customFormat="false" ht="27.75" hidden="false" customHeight="true" outlineLevel="0" collapsed="false"/>
    <row r="92" customFormat="false" ht="36" hidden="false" customHeight="true" outlineLevel="0" collapsed="false"/>
    <row r="93" customFormat="false" ht="16.5" hidden="false" customHeight="true" outlineLevel="0" collapsed="false">
      <c r="A93" s="213"/>
      <c r="B93" s="213"/>
      <c r="C93" s="212"/>
      <c r="D93" s="213"/>
    </row>
    <row r="94" customFormat="false" ht="15" hidden="false" customHeight="true" outlineLevel="0" collapsed="false">
      <c r="A94" s="213"/>
      <c r="B94" s="213"/>
      <c r="C94" s="212"/>
      <c r="D94" s="213"/>
    </row>
    <row r="95" s="122" customFormat="true" ht="15" hidden="false" customHeight="true" outlineLevel="0" collapsed="false">
      <c r="C95" s="256"/>
    </row>
    <row r="97" customFormat="false" ht="15" hidden="false" customHeight="true" outlineLevel="0" collapsed="false"/>
  </sheetData>
  <mergeCells count="1">
    <mergeCell ref="A3:I3"/>
  </mergeCells>
  <conditionalFormatting sqref="I66">
    <cfRule type="cellIs" priority="2" operator="notEqual" aboveAverage="0" equalAverage="0" bottom="0" percent="0" rank="0" text="" dxfId="2">
      <formula>$B$11</formula>
    </cfRule>
  </conditionalFormatting>
  <conditionalFormatting sqref="I61">
    <cfRule type="cellIs" priority="3" operator="notEqual" aboveAverage="0" equalAverage="0" bottom="0" percent="0" rank="0" text="" dxfId="2">
      <formula>$B$11</formula>
    </cfRule>
  </conditionalFormatting>
  <conditionalFormatting sqref="I56">
    <cfRule type="cellIs" priority="4" operator="notEqual" aboveAverage="0" equalAverage="0" bottom="0" percent="0" rank="0" text="" dxfId="2">
      <formula>$B$11</formula>
    </cfRule>
  </conditionalFormatting>
  <conditionalFormatting sqref="I51">
    <cfRule type="cellIs" priority="5" operator="notEqual" aboveAverage="0" equalAverage="0" bottom="0" percent="0" rank="0" text="" dxfId="2">
      <formula>$B$11</formula>
    </cfRule>
  </conditionalFormatting>
  <conditionalFormatting sqref="I46">
    <cfRule type="cellIs" priority="6" operator="notEqual" aboveAverage="0" equalAverage="0" bottom="0" percent="0" rank="0" text="" dxfId="2">
      <formula>$B$11</formula>
    </cfRule>
  </conditionalFormatting>
  <conditionalFormatting sqref="I41">
    <cfRule type="cellIs" priority="7" operator="notEqual" aboveAverage="0" equalAverage="0" bottom="0" percent="0" rank="0" text="" dxfId="2">
      <formula>$B$11</formula>
    </cfRule>
  </conditionalFormatting>
  <conditionalFormatting sqref="I36">
    <cfRule type="cellIs" priority="8" operator="notEqual" aboveAverage="0" equalAverage="0" bottom="0" percent="0" rank="0" text="" dxfId="2">
      <formula>$B$11</formula>
    </cfRule>
  </conditionalFormatting>
  <conditionalFormatting sqref="I31">
    <cfRule type="cellIs" priority="9" operator="notEqual" aboveAverage="0" equalAverage="0" bottom="0" percent="0" rank="0" text="" dxfId="2">
      <formula>$B$11</formula>
    </cfRule>
  </conditionalFormatting>
  <conditionalFormatting sqref="I26">
    <cfRule type="cellIs" priority="10" operator="notEqual" aboveAverage="0" equalAverage="0" bottom="0" percent="0" rank="0" text="" dxfId="2">
      <formula>$B$11</formula>
    </cfRule>
  </conditionalFormatting>
  <conditionalFormatting sqref="I21">
    <cfRule type="cellIs" priority="11" operator="notEqual" aboveAverage="0" equalAverage="0" bottom="0" percent="0" rank="0" text="" dxfId="2">
      <formula>$B$11</formula>
    </cfRule>
  </conditionalFormatting>
  <conditionalFormatting sqref="I16">
    <cfRule type="cellIs" priority="12" operator="notEqual" aboveAverage="0" equalAverage="0" bottom="0" percent="0" rank="0" text="" dxfId="2">
      <formula>$B$11</formula>
    </cfRule>
  </conditionalFormatting>
  <conditionalFormatting sqref="I76">
    <cfRule type="cellIs" priority="13" operator="notEqual" aboveAverage="0" equalAverage="0" bottom="0" percent="0" rank="0" text="" dxfId="3">
      <formula>'Budget Plan'!$O$86</formula>
    </cfRule>
  </conditionalFormatting>
  <conditionalFormatting sqref="I11">
    <cfRule type="cellIs" priority="14" operator="notEqual" aboveAverage="0" equalAverage="0" bottom="0" percent="0" rank="0" text="" dxfId="2">
      <formula>$B$11</formula>
    </cfRule>
  </conditionalFormatting>
  <conditionalFormatting sqref="I6">
    <cfRule type="cellIs" priority="15" operator="notEqual" aboveAverage="0" equalAverage="0" bottom="0" percent="0" rank="0" text="" dxfId="2">
      <formula>$B$6</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35546875" defaultRowHeight="16.5" zeroHeight="false" outlineLevelRow="0" outlineLevelCol="0"/>
  <cols>
    <col collapsed="false" customWidth="true" hidden="false" outlineLevel="0" max="1" min="1" style="257" width="63.78"/>
    <col collapsed="false" customWidth="true" hidden="false" outlineLevel="0" max="6" min="2" style="257" width="16.22"/>
    <col collapsed="false" customWidth="true" hidden="false" outlineLevel="0" max="7" min="7" style="257" width="17.84"/>
  </cols>
  <sheetData>
    <row r="1" customFormat="false" ht="25.5" hidden="false" customHeight="true" outlineLevel="0" collapsed="false">
      <c r="A1" s="258" t="s">
        <v>233</v>
      </c>
    </row>
    <row r="3" customFormat="false" ht="16.5" hidden="false" customHeight="true" outlineLevel="0" collapsed="false">
      <c r="A3" s="259"/>
      <c r="B3" s="260" t="s">
        <v>176</v>
      </c>
      <c r="C3" s="260" t="s">
        <v>177</v>
      </c>
      <c r="D3" s="260" t="s">
        <v>178</v>
      </c>
      <c r="E3" s="260" t="s">
        <v>179</v>
      </c>
      <c r="F3" s="260" t="s">
        <v>19</v>
      </c>
      <c r="G3" s="260" t="s">
        <v>234</v>
      </c>
    </row>
    <row r="4" customFormat="false" ht="16.5" hidden="false" customHeight="true" outlineLevel="0" collapsed="false">
      <c r="A4" s="261" t="s">
        <v>235</v>
      </c>
      <c r="B4" s="241" t="s">
        <v>236</v>
      </c>
      <c r="C4" s="241"/>
      <c r="D4" s="241"/>
      <c r="E4" s="241"/>
      <c r="F4" s="241"/>
      <c r="G4" s="241"/>
    </row>
    <row r="5" customFormat="false" ht="16.5" hidden="false" customHeight="true" outlineLevel="0" collapsed="false">
      <c r="A5" s="262" t="s">
        <v>237</v>
      </c>
      <c r="B5" s="263"/>
      <c r="C5" s="263"/>
      <c r="D5" s="263"/>
      <c r="E5" s="263"/>
      <c r="F5" s="263"/>
      <c r="G5" s="264"/>
    </row>
    <row r="6" customFormat="false" ht="16.5" hidden="false" customHeight="true" outlineLevel="0" collapsed="false">
      <c r="A6" s="265" t="s">
        <v>238</v>
      </c>
      <c r="B6" s="266"/>
      <c r="C6" s="266"/>
      <c r="D6" s="266"/>
      <c r="E6" s="266"/>
      <c r="F6" s="266"/>
      <c r="G6" s="267"/>
    </row>
    <row r="7" customFormat="false" ht="24" hidden="false" customHeight="true" outlineLevel="0" collapsed="false">
      <c r="A7" s="268" t="s">
        <v>239</v>
      </c>
      <c r="B7" s="232" t="n">
        <v>4410</v>
      </c>
      <c r="C7" s="232"/>
      <c r="D7" s="232"/>
      <c r="E7" s="232"/>
      <c r="F7" s="232"/>
      <c r="G7" s="232"/>
    </row>
    <row r="8" customFormat="false" ht="24" hidden="false" customHeight="true" outlineLevel="0" collapsed="false">
      <c r="A8" s="268" t="s">
        <v>240</v>
      </c>
      <c r="B8" s="232" t="n">
        <v>4410</v>
      </c>
      <c r="C8" s="232"/>
      <c r="D8" s="232"/>
      <c r="E8" s="232"/>
      <c r="F8" s="232"/>
      <c r="G8" s="232"/>
    </row>
    <row r="9" customFormat="false" ht="24" hidden="false" customHeight="true" outlineLevel="0" collapsed="false">
      <c r="A9" s="268" t="s">
        <v>241</v>
      </c>
      <c r="B9" s="232" t="n">
        <v>5145</v>
      </c>
      <c r="C9" s="232"/>
      <c r="D9" s="232"/>
      <c r="E9" s="232"/>
      <c r="F9" s="232"/>
      <c r="G9" s="232"/>
    </row>
    <row r="10" customFormat="false" ht="16.5" hidden="false" customHeight="true" outlineLevel="0" collapsed="false">
      <c r="A10" s="268" t="s">
        <v>242</v>
      </c>
      <c r="B10" s="232" t="n">
        <v>4410</v>
      </c>
      <c r="C10" s="232"/>
      <c r="D10" s="232"/>
      <c r="E10" s="232"/>
      <c r="F10" s="232"/>
      <c r="G10" s="232"/>
    </row>
    <row r="11" customFormat="false" ht="16.5" hidden="false" customHeight="true" outlineLevel="0" collapsed="false">
      <c r="A11" s="265" t="s">
        <v>243</v>
      </c>
      <c r="B11" s="266"/>
      <c r="C11" s="266"/>
      <c r="D11" s="266"/>
      <c r="E11" s="266"/>
      <c r="F11" s="266"/>
      <c r="G11" s="267"/>
    </row>
    <row r="12" customFormat="false" ht="24" hidden="false" customHeight="true" outlineLevel="0" collapsed="false">
      <c r="A12" s="268" t="s">
        <v>244</v>
      </c>
      <c r="B12" s="232" t="n">
        <v>2205</v>
      </c>
      <c r="C12" s="232" t="n">
        <v>546</v>
      </c>
      <c r="D12" s="232" t="n">
        <v>2205</v>
      </c>
      <c r="E12" s="232"/>
      <c r="F12" s="232"/>
      <c r="G12" s="232"/>
    </row>
    <row r="13" customFormat="false" ht="16.5" hidden="false" customHeight="true" outlineLevel="0" collapsed="false">
      <c r="A13" s="268" t="s">
        <v>245</v>
      </c>
      <c r="B13" s="232" t="n">
        <v>2205</v>
      </c>
      <c r="C13" s="232" t="n">
        <v>5145</v>
      </c>
      <c r="D13" s="232" t="n">
        <v>2205</v>
      </c>
      <c r="E13" s="232"/>
      <c r="F13" s="232"/>
      <c r="G13" s="232"/>
    </row>
    <row r="14" customFormat="false" ht="36" hidden="false" customHeight="true" outlineLevel="0" collapsed="false">
      <c r="A14" s="268" t="s">
        <v>246</v>
      </c>
      <c r="B14" s="232" t="n">
        <v>1470</v>
      </c>
      <c r="C14" s="269" t="n">
        <v>1240</v>
      </c>
      <c r="D14" s="232" t="n">
        <v>1470</v>
      </c>
      <c r="E14" s="232"/>
      <c r="F14" s="232"/>
      <c r="G14" s="232"/>
    </row>
    <row r="15" customFormat="false" ht="24" hidden="false" customHeight="true" outlineLevel="0" collapsed="false">
      <c r="A15" s="268" t="s">
        <v>247</v>
      </c>
      <c r="B15" s="269" t="n">
        <v>1470</v>
      </c>
      <c r="C15" s="269" t="n">
        <v>3675</v>
      </c>
      <c r="D15" s="269" t="n">
        <v>1470</v>
      </c>
      <c r="E15" s="269"/>
      <c r="F15" s="269"/>
      <c r="G15" s="269"/>
    </row>
    <row r="16" customFormat="false" ht="16.5" hidden="false" customHeight="true" outlineLevel="0" collapsed="false">
      <c r="A16" s="268" t="s">
        <v>248</v>
      </c>
      <c r="B16" s="223" t="n">
        <v>1237</v>
      </c>
      <c r="C16" s="223" t="n">
        <v>1470</v>
      </c>
      <c r="D16" s="223" t="n">
        <v>1236</v>
      </c>
      <c r="E16" s="223"/>
      <c r="F16" s="223"/>
      <c r="G16" s="223"/>
    </row>
    <row r="17" customFormat="false" ht="16.5" hidden="false" customHeight="true" outlineLevel="0" collapsed="false">
      <c r="A17" s="265" t="s">
        <v>249</v>
      </c>
      <c r="B17" s="266"/>
      <c r="C17" s="266"/>
      <c r="D17" s="266"/>
      <c r="E17" s="266"/>
      <c r="F17" s="266"/>
      <c r="G17" s="267"/>
    </row>
    <row r="18" customFormat="false" ht="16.5" hidden="false" customHeight="true" outlineLevel="0" collapsed="false">
      <c r="A18" s="268" t="s">
        <v>250</v>
      </c>
      <c r="B18" s="223" t="n">
        <v>2205</v>
      </c>
      <c r="C18" s="223" t="n">
        <v>2205</v>
      </c>
      <c r="D18" s="223" t="n">
        <v>2205</v>
      </c>
      <c r="E18" s="223"/>
      <c r="F18" s="223"/>
      <c r="G18" s="223"/>
    </row>
    <row r="19" customFormat="false" ht="16.5" hidden="false" customHeight="true" outlineLevel="0" collapsed="false">
      <c r="A19" s="268" t="s">
        <v>251</v>
      </c>
      <c r="B19" s="223" t="n">
        <v>1470</v>
      </c>
      <c r="C19" s="223" t="n">
        <v>1470</v>
      </c>
      <c r="D19" s="223" t="n">
        <v>1470</v>
      </c>
      <c r="E19" s="223"/>
      <c r="F19" s="223"/>
      <c r="G19" s="223"/>
    </row>
    <row r="20" customFormat="false" ht="24" hidden="false" customHeight="true" outlineLevel="0" collapsed="false">
      <c r="A20" s="268" t="s">
        <v>252</v>
      </c>
      <c r="B20" s="223" t="n">
        <v>1470</v>
      </c>
      <c r="C20" s="223" t="n">
        <v>1470</v>
      </c>
      <c r="D20" s="223" t="n">
        <v>1470</v>
      </c>
      <c r="E20" s="223"/>
      <c r="F20" s="223"/>
      <c r="G20" s="223"/>
    </row>
    <row r="21" customFormat="false" ht="16.5" hidden="false" customHeight="true" outlineLevel="0" collapsed="false">
      <c r="A21" s="268" t="s">
        <v>253</v>
      </c>
      <c r="B21" s="223" t="n">
        <v>735</v>
      </c>
      <c r="C21" s="223" t="n">
        <v>735</v>
      </c>
      <c r="D21" s="223" t="n">
        <v>735</v>
      </c>
      <c r="E21" s="223"/>
      <c r="F21" s="223"/>
      <c r="G21" s="223"/>
    </row>
    <row r="22" customFormat="false" ht="16.5" hidden="false" customHeight="true" outlineLevel="0" collapsed="false">
      <c r="A22" s="270" t="s">
        <v>254</v>
      </c>
      <c r="B22" s="271" t="n">
        <v>0</v>
      </c>
      <c r="C22" s="271" t="n">
        <v>735</v>
      </c>
      <c r="D22" s="271"/>
      <c r="E22" s="271"/>
      <c r="F22" s="271"/>
      <c r="G22" s="271"/>
    </row>
    <row r="23" customFormat="false" ht="16.5" hidden="false" customHeight="true" outlineLevel="0" collapsed="false">
      <c r="A23" s="265" t="s">
        <v>255</v>
      </c>
      <c r="B23" s="272"/>
      <c r="C23" s="272"/>
      <c r="D23" s="272"/>
      <c r="E23" s="272"/>
      <c r="F23" s="272"/>
      <c r="G23" s="273"/>
    </row>
    <row r="24" customFormat="false" ht="16.5" hidden="false" customHeight="true" outlineLevel="0" collapsed="false">
      <c r="A24" s="274"/>
      <c r="B24" s="275" t="n">
        <v>3675</v>
      </c>
      <c r="C24" s="275"/>
      <c r="D24" s="275" t="n">
        <v>3675</v>
      </c>
      <c r="E24" s="275"/>
      <c r="F24" s="275"/>
      <c r="G24" s="275"/>
    </row>
    <row r="25" customFormat="false" ht="16.5" hidden="false" customHeight="true" outlineLevel="0" collapsed="false">
      <c r="A25" s="268"/>
      <c r="B25" s="223"/>
      <c r="C25" s="223"/>
      <c r="D25" s="223"/>
      <c r="E25" s="223"/>
      <c r="F25" s="223"/>
      <c r="G25" s="223"/>
    </row>
    <row r="26" customFormat="false" ht="16.5" hidden="false" customHeight="true" outlineLevel="0" collapsed="false">
      <c r="A26" s="268"/>
      <c r="B26" s="223"/>
      <c r="C26" s="223"/>
      <c r="D26" s="223"/>
      <c r="E26" s="223"/>
      <c r="F26" s="223"/>
      <c r="G26" s="223"/>
    </row>
    <row r="27" customFormat="false" ht="16.5" hidden="false" customHeight="true" outlineLevel="0" collapsed="false">
      <c r="A27" s="262" t="s">
        <v>256</v>
      </c>
      <c r="B27" s="276"/>
      <c r="C27" s="276"/>
      <c r="D27" s="276"/>
      <c r="E27" s="276"/>
      <c r="F27" s="276"/>
      <c r="G27" s="277"/>
    </row>
    <row r="28" customFormat="false" ht="16.5" hidden="false" customHeight="true" outlineLevel="0" collapsed="false">
      <c r="A28" s="278" t="s">
        <v>257</v>
      </c>
      <c r="B28" s="279"/>
      <c r="C28" s="279"/>
      <c r="D28" s="279"/>
      <c r="E28" s="279"/>
      <c r="F28" s="279"/>
      <c r="G28" s="279"/>
    </row>
    <row r="29" customFormat="false" ht="16.5" hidden="false" customHeight="true" outlineLevel="0" collapsed="false">
      <c r="A29" s="268" t="s">
        <v>258</v>
      </c>
      <c r="B29" s="223"/>
      <c r="C29" s="223"/>
      <c r="D29" s="223" t="n">
        <v>7349</v>
      </c>
      <c r="E29" s="223"/>
      <c r="F29" s="223"/>
      <c r="G29" s="223"/>
    </row>
    <row r="30" customFormat="false" ht="16.5" hidden="false" customHeight="true" outlineLevel="0" collapsed="false">
      <c r="A30" s="270" t="s">
        <v>259</v>
      </c>
      <c r="B30" s="271"/>
      <c r="C30" s="271"/>
      <c r="D30" s="271" t="n">
        <v>36743</v>
      </c>
      <c r="E30" s="271"/>
      <c r="F30" s="271"/>
      <c r="G30" s="271"/>
    </row>
    <row r="31" customFormat="false" ht="16.5" hidden="false" customHeight="true" outlineLevel="0" collapsed="false">
      <c r="A31" s="265" t="s">
        <v>260</v>
      </c>
      <c r="B31" s="272"/>
      <c r="C31" s="272"/>
      <c r="D31" s="272"/>
      <c r="E31" s="272"/>
      <c r="F31" s="272"/>
      <c r="G31" s="273"/>
    </row>
    <row r="32" customFormat="false" ht="24" hidden="false" customHeight="true" outlineLevel="0" collapsed="false">
      <c r="A32" s="280" t="s">
        <v>261</v>
      </c>
      <c r="B32" s="281"/>
      <c r="C32" s="281"/>
      <c r="D32" s="281" t="n">
        <v>7349</v>
      </c>
      <c r="E32" s="281"/>
      <c r="F32" s="281"/>
      <c r="G32" s="281"/>
    </row>
    <row r="33" customFormat="false" ht="16.5" hidden="false" customHeight="true" outlineLevel="0" collapsed="false">
      <c r="A33" s="265" t="s">
        <v>255</v>
      </c>
      <c r="B33" s="272"/>
      <c r="C33" s="272"/>
      <c r="D33" s="272"/>
      <c r="E33" s="272"/>
      <c r="F33" s="272"/>
      <c r="G33" s="273"/>
    </row>
    <row r="34" customFormat="false" ht="16.5" hidden="false" customHeight="true" outlineLevel="0" collapsed="false">
      <c r="A34" s="274"/>
      <c r="B34" s="275"/>
      <c r="C34" s="275"/>
      <c r="D34" s="275"/>
      <c r="E34" s="275"/>
      <c r="F34" s="275"/>
      <c r="G34" s="275"/>
    </row>
    <row r="35" customFormat="false" ht="16.5" hidden="false" customHeight="true" outlineLevel="0" collapsed="false">
      <c r="A35" s="270"/>
      <c r="B35" s="271"/>
      <c r="C35" s="271"/>
      <c r="D35" s="271"/>
      <c r="E35" s="271"/>
      <c r="F35" s="271"/>
      <c r="G35" s="271"/>
    </row>
    <row r="36" customFormat="false" ht="16.5" hidden="false" customHeight="true" outlineLevel="0" collapsed="false">
      <c r="A36" s="262" t="s">
        <v>262</v>
      </c>
      <c r="B36" s="276"/>
      <c r="C36" s="276"/>
      <c r="D36" s="276"/>
      <c r="E36" s="276"/>
      <c r="F36" s="276"/>
      <c r="G36" s="277"/>
    </row>
    <row r="37" customFormat="false" ht="16.5" hidden="false" customHeight="true" outlineLevel="0" collapsed="false">
      <c r="A37" s="280" t="s">
        <v>263</v>
      </c>
      <c r="B37" s="282"/>
      <c r="C37" s="282"/>
      <c r="D37" s="282"/>
      <c r="E37" s="282"/>
      <c r="F37" s="282"/>
      <c r="G37" s="282"/>
    </row>
    <row r="38" customFormat="false" ht="16.5" hidden="false" customHeight="true" outlineLevel="0" collapsed="false">
      <c r="A38" s="265" t="s">
        <v>255</v>
      </c>
      <c r="B38" s="272"/>
      <c r="C38" s="272"/>
      <c r="D38" s="272"/>
      <c r="E38" s="272"/>
      <c r="F38" s="272"/>
      <c r="G38" s="273"/>
    </row>
    <row r="39" customFormat="false" ht="16.5" hidden="false" customHeight="true" outlineLevel="0" collapsed="false">
      <c r="A39" s="274"/>
      <c r="B39" s="275"/>
      <c r="C39" s="275"/>
      <c r="D39" s="275"/>
      <c r="E39" s="275"/>
      <c r="F39" s="275"/>
      <c r="G39" s="275"/>
    </row>
    <row r="40" customFormat="false" ht="16.5" hidden="false" customHeight="true" outlineLevel="0" collapsed="false">
      <c r="A40" s="268"/>
      <c r="B40" s="223"/>
      <c r="C40" s="223"/>
      <c r="D40" s="223"/>
      <c r="E40" s="223"/>
      <c r="F40" s="223"/>
      <c r="G40" s="223"/>
    </row>
    <row r="41" customFormat="false" ht="16.5" hidden="false" customHeight="true" outlineLevel="0" collapsed="false">
      <c r="A41" s="268"/>
      <c r="B41" s="223"/>
      <c r="C41" s="223"/>
      <c r="D41" s="223"/>
      <c r="E41" s="223"/>
      <c r="F41" s="223"/>
      <c r="G41" s="223"/>
    </row>
    <row r="42" customFormat="false" ht="16.5" hidden="false" customHeight="true" outlineLevel="0" collapsed="false">
      <c r="A42" s="283" t="s">
        <v>264</v>
      </c>
      <c r="B42" s="284"/>
      <c r="C42" s="284"/>
      <c r="D42" s="284"/>
      <c r="E42" s="284"/>
      <c r="F42" s="284"/>
      <c r="G42" s="284" t="n">
        <f aca="false">SUM(B7:G41)</f>
        <v>124790</v>
      </c>
    </row>
    <row r="43" customFormat="false" ht="16.5" hidden="false" customHeight="true" outlineLevel="0" collapsed="false">
      <c r="A43" s="285" t="s">
        <v>265</v>
      </c>
      <c r="B43" s="286"/>
      <c r="C43" s="286"/>
      <c r="D43" s="286"/>
      <c r="E43" s="286"/>
      <c r="F43" s="286"/>
      <c r="G43" s="287" t="n">
        <f aca="false">G42/'Budget Plan'!O81</f>
        <v>0.05</v>
      </c>
    </row>
    <row r="44" customFormat="false" ht="16.5" hidden="false" customHeight="true" outlineLevel="0" collapsed="false">
      <c r="A44" s="170" t="s">
        <v>266</v>
      </c>
      <c r="B44" s="170"/>
      <c r="C44" s="170"/>
      <c r="D44" s="170"/>
      <c r="E44" s="170"/>
      <c r="F44" s="170"/>
      <c r="G44" s="170"/>
    </row>
    <row r="45" customFormat="false" ht="16.5" hidden="false" customHeight="true" outlineLevel="0" collapsed="false">
      <c r="A45" s="252" t="s">
        <v>267</v>
      </c>
      <c r="B45" s="288"/>
      <c r="C45" s="288"/>
      <c r="D45" s="288"/>
      <c r="E45" s="288"/>
      <c r="F45" s="288"/>
      <c r="G45" s="288"/>
    </row>
  </sheetData>
  <mergeCells count="1">
    <mergeCell ref="B4:G4"/>
  </mergeCells>
  <conditionalFormatting sqref="G42">
    <cfRule type="cellIs" priority="2" operator="notEqual" aboveAverage="0" equalAverage="0" bottom="0" percent="0" rank="0" text="" dxfId="3">
      <formula>'Budget Plan'!$O$83</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A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328125" defaultRowHeight="16.5" zeroHeight="false" outlineLevelRow="0" outlineLevelCol="0"/>
  <cols>
    <col collapsed="false" customWidth="true" hidden="false" outlineLevel="0" max="1" min="1" style="289" width="47.21"/>
    <col collapsed="false" customWidth="false" hidden="false" outlineLevel="0" max="16384" min="2" style="289" width="10.63"/>
  </cols>
  <sheetData>
    <row r="1" s="290" customFormat="true" ht="22.5" hidden="false" customHeight="true" outlineLevel="0" collapsed="false">
      <c r="A1" s="4" t="s">
        <v>268</v>
      </c>
    </row>
    <row r="2" s="290" customFormat="true" ht="22.5" hidden="false" customHeight="true" outlineLevel="0" collapsed="false">
      <c r="A2" s="4"/>
    </row>
    <row r="3" customFormat="false" ht="21.75" hidden="false" customHeight="true" outlineLevel="0" collapsed="false">
      <c r="A3" s="291"/>
    </row>
    <row r="4" s="293" customFormat="true" ht="21.75" hidden="false" customHeight="true" outlineLevel="0" collapsed="false">
      <c r="A4" s="292" t="s">
        <v>118</v>
      </c>
    </row>
    <row r="5" s="293" customFormat="true" ht="21.75" hidden="false" customHeight="true" outlineLevel="0" collapsed="false">
      <c r="A5" s="294" t="s">
        <v>155</v>
      </c>
    </row>
    <row r="6" s="293" customFormat="true" ht="21.75" hidden="false" customHeight="true" outlineLevel="0" collapsed="false">
      <c r="A6" s="292" t="s">
        <v>115</v>
      </c>
    </row>
    <row r="7" s="293" customFormat="true" ht="21.75" hidden="false" customHeight="true" outlineLevel="0" collapsed="false">
      <c r="A7" s="294" t="s">
        <v>103</v>
      </c>
    </row>
    <row r="8" s="293" customFormat="true" ht="21.75" hidden="false" customHeight="true" outlineLevel="0" collapsed="false">
      <c r="A8" s="292" t="s">
        <v>106</v>
      </c>
    </row>
    <row r="9" s="293" customFormat="true" ht="21.75" hidden="false" customHeight="true" outlineLevel="0" collapsed="false">
      <c r="A9" s="294" t="s">
        <v>108</v>
      </c>
    </row>
    <row r="10" s="293" customFormat="true" ht="21.75" hidden="false" customHeight="true" outlineLevel="0" collapsed="false">
      <c r="A10" s="292" t="s">
        <v>135</v>
      </c>
    </row>
    <row r="11" s="293" customFormat="true" ht="21.75" hidden="false" customHeight="true" outlineLevel="0" collapsed="false">
      <c r="A11" s="294" t="s">
        <v>147</v>
      </c>
    </row>
    <row r="12" s="293" customFormat="true" ht="21.75" hidden="false" customHeight="true" outlineLevel="0" collapsed="false">
      <c r="A12" s="292" t="s">
        <v>141</v>
      </c>
    </row>
    <row r="13" s="293" customFormat="true" ht="21.75" hidden="false" customHeight="true" outlineLevel="0" collapsed="false">
      <c r="A13" s="294" t="s">
        <v>111</v>
      </c>
    </row>
    <row r="14" s="293" customFormat="true" ht="21.75" hidden="false" customHeight="true" outlineLevel="0" collapsed="false">
      <c r="A14" s="292"/>
    </row>
    <row r="15" s="293" customFormat="true" ht="21.75" hidden="false" customHeight="true" outlineLevel="0" collapsed="false">
      <c r="A15" s="295"/>
    </row>
    <row r="16" s="293" customFormat="true" ht="21.75" hidden="false" customHeight="true" outlineLevel="0" collapsed="false">
      <c r="A16" s="292"/>
    </row>
    <row r="17" s="293" customFormat="true" ht="21.75" hidden="false" customHeight="true" outlineLevel="0" collapsed="false">
      <c r="A17" s="294"/>
    </row>
    <row r="18" s="293" customFormat="true" ht="21.75" hidden="false" customHeight="true" outlineLevel="0" collapsed="false">
      <c r="A18" s="296"/>
    </row>
    <row r="19" s="293" customFormat="true" ht="21.75" hidden="false" customHeight="true" outlineLevel="0" collapsed="false">
      <c r="A19" s="297"/>
    </row>
    <row r="20" customFormat="false" ht="16.5" hidden="true" customHeight="true" outlineLevel="0" collapsed="false"/>
    <row r="21" customFormat="false" ht="16.5" hidden="true" customHeight="true" outlineLevel="0" collapsed="false">
      <c r="A21" s="298" t="s">
        <v>269</v>
      </c>
    </row>
    <row r="22" customFormat="false" ht="16.5" hidden="true" customHeight="true" outlineLevel="0" collapsed="false">
      <c r="A22" s="299" t="n">
        <v>0</v>
      </c>
    </row>
    <row r="23" customFormat="false" ht="16.5" hidden="true" customHeight="true" outlineLevel="0" collapsed="false">
      <c r="A23" s="300" t="n">
        <v>0.01</v>
      </c>
    </row>
    <row r="24" customFormat="false" ht="16.5" hidden="true" customHeight="true" outlineLevel="0" collapsed="false">
      <c r="A24" s="301" t="n">
        <v>0.02</v>
      </c>
    </row>
    <row r="25" customFormat="false" ht="16.5" hidden="true" customHeight="true" outlineLevel="0" collapsed="false">
      <c r="A25" s="300" t="n">
        <v>0.03</v>
      </c>
    </row>
    <row r="26" customFormat="false" ht="16.5" hidden="true" customHeight="true" outlineLevel="0" collapsed="false">
      <c r="A26" s="301"/>
    </row>
    <row r="27" customFormat="false" ht="16.5" hidden="true" customHeight="true" outlineLevel="0" collapsed="false">
      <c r="A27" s="30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O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71875" defaultRowHeight="16.5" zeroHeight="false" outlineLevelRow="0" outlineLevelCol="0"/>
  <cols>
    <col collapsed="false" customWidth="true" hidden="false" outlineLevel="0" max="1" min="1" style="302" width="15.66"/>
    <col collapsed="false" customWidth="true" hidden="false" outlineLevel="0" max="2" min="2" style="290" width="112.79"/>
    <col collapsed="false" customWidth="false" hidden="false" outlineLevel="0" max="16384" min="3" style="290" width="11.17"/>
  </cols>
  <sheetData>
    <row r="1" customFormat="false" ht="22.5" hidden="false" customHeight="true" outlineLevel="0" collapsed="false">
      <c r="A1" s="303" t="s">
        <v>270</v>
      </c>
    </row>
    <row r="3" customFormat="false" ht="16.5" hidden="false" customHeight="true" outlineLevel="0" collapsed="false">
      <c r="A3" s="304" t="s">
        <v>271</v>
      </c>
      <c r="B3" s="305"/>
      <c r="C3" s="305"/>
      <c r="D3" s="305"/>
      <c r="E3" s="305"/>
      <c r="F3" s="305"/>
      <c r="G3" s="305"/>
      <c r="H3" s="305"/>
      <c r="I3" s="305"/>
      <c r="J3" s="305"/>
      <c r="K3" s="305"/>
      <c r="L3" s="305"/>
      <c r="M3" s="305"/>
      <c r="N3" s="305"/>
      <c r="O3" s="305"/>
    </row>
    <row r="5" customFormat="false" ht="28.5" hidden="false" customHeight="true" outlineLevel="0" collapsed="false">
      <c r="A5" s="306" t="s">
        <v>272</v>
      </c>
      <c r="B5" s="307" t="s">
        <v>273</v>
      </c>
    </row>
    <row r="6" customFormat="false" ht="54.75" hidden="false" customHeight="true" outlineLevel="0" collapsed="false">
      <c r="A6" s="308" t="s">
        <v>105</v>
      </c>
      <c r="B6" s="309" t="s">
        <v>274</v>
      </c>
    </row>
    <row r="7" customFormat="false" ht="96" hidden="false" customHeight="true" outlineLevel="0" collapsed="false">
      <c r="A7" s="308" t="s">
        <v>107</v>
      </c>
      <c r="B7" s="309" t="s">
        <v>275</v>
      </c>
    </row>
    <row r="8" customFormat="false" ht="81.75" hidden="false" customHeight="true" outlineLevel="0" collapsed="false">
      <c r="A8" s="308" t="s">
        <v>110</v>
      </c>
      <c r="B8" s="309" t="s">
        <v>276</v>
      </c>
    </row>
    <row r="9" customFormat="false" ht="81.75" hidden="false" customHeight="true" outlineLevel="0" collapsed="false">
      <c r="A9" s="308" t="s">
        <v>28</v>
      </c>
      <c r="B9" s="309" t="s">
        <v>277</v>
      </c>
    </row>
    <row r="10" customFormat="false" ht="54.75" hidden="false" customHeight="true" outlineLevel="0" collapsed="false">
      <c r="A10" s="308" t="s">
        <v>278</v>
      </c>
      <c r="B10" s="309" t="s">
        <v>279</v>
      </c>
    </row>
    <row r="11" customFormat="false" ht="27.75" hidden="false" customHeight="true" outlineLevel="0" collapsed="false">
      <c r="A11" s="308" t="s">
        <v>280</v>
      </c>
      <c r="B11" s="309" t="s">
        <v>281</v>
      </c>
    </row>
    <row r="12" customFormat="false" ht="40.5" hidden="false" customHeight="true" outlineLevel="0" collapsed="false">
      <c r="A12" s="308" t="s">
        <v>131</v>
      </c>
      <c r="B12" s="309" t="s">
        <v>282</v>
      </c>
    </row>
    <row r="13" customFormat="false" ht="40.5" hidden="false" customHeight="true" outlineLevel="0" collapsed="false">
      <c r="A13" s="308" t="s">
        <v>283</v>
      </c>
      <c r="B13" s="309" t="s">
        <v>284</v>
      </c>
    </row>
    <row r="14" customFormat="false" ht="54.75" hidden="false" customHeight="true" outlineLevel="0" collapsed="false">
      <c r="A14" s="308" t="s">
        <v>285</v>
      </c>
      <c r="B14" s="309" t="s">
        <v>286</v>
      </c>
    </row>
    <row r="15" customFormat="false" ht="81.75" hidden="false" customHeight="true" outlineLevel="0" collapsed="false">
      <c r="A15" s="308" t="s">
        <v>287</v>
      </c>
      <c r="B15" s="309" t="s">
        <v>288</v>
      </c>
    </row>
    <row r="16" customFormat="false" ht="27.75" hidden="false" customHeight="true" outlineLevel="0" collapsed="false">
      <c r="A16" s="308" t="s">
        <v>289</v>
      </c>
      <c r="B16" s="309" t="s">
        <v>290</v>
      </c>
    </row>
    <row r="17" customFormat="false" ht="135.75" hidden="false" customHeight="true" outlineLevel="0" collapsed="false">
      <c r="A17" s="308" t="s">
        <v>291</v>
      </c>
      <c r="B17" s="309" t="s">
        <v>292</v>
      </c>
    </row>
    <row r="18" customFormat="false" ht="28.5" hidden="false" customHeight="true" outlineLevel="0" collapsed="false">
      <c r="A18" s="308" t="s">
        <v>27</v>
      </c>
      <c r="B18" s="310" t="s">
        <v>293</v>
      </c>
    </row>
    <row r="19" customFormat="false" ht="28.5" hidden="false" customHeight="true" outlineLevel="0" collapsed="false">
      <c r="A19" s="308"/>
      <c r="B19" s="311"/>
    </row>
    <row r="20" customFormat="false" ht="28.5" hidden="false" customHeight="true" outlineLevel="0" collapsed="false">
      <c r="A20" s="308"/>
      <c r="B20" s="311"/>
    </row>
    <row r="21" customFormat="false" ht="28.5" hidden="false" customHeight="true" outlineLevel="0" collapsed="false">
      <c r="A21" s="308"/>
      <c r="B21" s="311"/>
    </row>
    <row r="22" customFormat="false" ht="28.5" hidden="false" customHeight="true" outlineLevel="0" collapsed="false">
      <c r="A22" s="308"/>
      <c r="B22" s="311"/>
    </row>
    <row r="23" customFormat="false" ht="28.5" hidden="false" customHeight="true" outlineLevel="0" collapsed="false">
      <c r="A23" s="312"/>
      <c r="B23" s="31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3.5" zeroHeight="false" outlineLevelRow="0" outlineLevelCol="0"/>
  <cols>
    <col collapsed="false" customWidth="true" hidden="false" outlineLevel="0" max="1" min="1" style="192" width="25.95"/>
    <col collapsed="false" customWidth="true" hidden="false" outlineLevel="0" max="2" min="2" style="192" width="24.52"/>
    <col collapsed="false" customWidth="true" hidden="false" outlineLevel="0" max="3" min="3" style="192" width="169.73"/>
    <col collapsed="false" customWidth="false" hidden="false" outlineLevel="0" max="16384" min="4" style="192" width="11.53"/>
  </cols>
  <sheetData>
    <row r="1" s="290" customFormat="true" ht="22.5" hidden="false" customHeight="true" outlineLevel="0" collapsed="false">
      <c r="A1" s="4" t="s">
        <v>294</v>
      </c>
    </row>
    <row r="3" customFormat="false" ht="28.5" hidden="false" customHeight="true" outlineLevel="0" collapsed="false">
      <c r="A3" s="314" t="s">
        <v>295</v>
      </c>
      <c r="B3" s="314" t="s">
        <v>296</v>
      </c>
      <c r="C3" s="314" t="s">
        <v>297</v>
      </c>
    </row>
    <row r="4" customFormat="false" ht="28.5" hidden="false" customHeight="true" outlineLevel="0" collapsed="false">
      <c r="A4" s="315" t="s">
        <v>298</v>
      </c>
      <c r="B4" s="316" t="s">
        <v>299</v>
      </c>
      <c r="C4" s="317" t="s">
        <v>101</v>
      </c>
    </row>
    <row r="5" customFormat="false" ht="28.5" hidden="false" customHeight="true" outlineLevel="0" collapsed="false">
      <c r="A5" s="315"/>
      <c r="B5" s="316" t="s">
        <v>300</v>
      </c>
      <c r="C5" s="318" t="s">
        <v>113</v>
      </c>
    </row>
    <row r="6" customFormat="false" ht="28.5" hidden="false" customHeight="true" outlineLevel="0" collapsed="false">
      <c r="A6" s="315" t="s">
        <v>301</v>
      </c>
      <c r="B6" s="316" t="s">
        <v>302</v>
      </c>
      <c r="C6" s="317" t="s">
        <v>116</v>
      </c>
    </row>
    <row r="7" customFormat="false" ht="28.5" hidden="false" customHeight="true" outlineLevel="0" collapsed="false">
      <c r="A7" s="315"/>
      <c r="B7" s="316" t="s">
        <v>303</v>
      </c>
      <c r="C7" s="317" t="s">
        <v>119</v>
      </c>
    </row>
    <row r="8" customFormat="false" ht="28.5" hidden="false" customHeight="true" outlineLevel="0" collapsed="false">
      <c r="A8" s="315"/>
      <c r="B8" s="316" t="s">
        <v>304</v>
      </c>
      <c r="C8" s="317" t="s">
        <v>121</v>
      </c>
    </row>
    <row r="9" customFormat="false" ht="28.5" hidden="false" customHeight="true" outlineLevel="0" collapsed="false">
      <c r="A9" s="315"/>
      <c r="B9" s="316" t="s">
        <v>305</v>
      </c>
      <c r="C9" s="317" t="s">
        <v>123</v>
      </c>
    </row>
    <row r="10" customFormat="false" ht="28.5" hidden="false" customHeight="true" outlineLevel="0" collapsed="false">
      <c r="A10" s="315" t="s">
        <v>306</v>
      </c>
      <c r="B10" s="316" t="s">
        <v>307</v>
      </c>
      <c r="C10" s="317" t="s">
        <v>126</v>
      </c>
    </row>
    <row r="11" customFormat="false" ht="28.5" hidden="false" customHeight="true" outlineLevel="0" collapsed="false">
      <c r="A11" s="315" t="s">
        <v>308</v>
      </c>
      <c r="B11" s="316" t="s">
        <v>309</v>
      </c>
      <c r="C11" s="317" t="s">
        <v>130</v>
      </c>
    </row>
    <row r="12" customFormat="false" ht="28.5" hidden="false" customHeight="true" outlineLevel="0" collapsed="false">
      <c r="A12" s="315" t="s">
        <v>310</v>
      </c>
      <c r="B12" s="316" t="s">
        <v>311</v>
      </c>
      <c r="C12" s="317" t="s">
        <v>133</v>
      </c>
    </row>
    <row r="13" customFormat="false" ht="28.5" hidden="false" customHeight="true" outlineLevel="0" collapsed="false">
      <c r="A13" s="315"/>
      <c r="B13" s="316" t="s">
        <v>312</v>
      </c>
      <c r="C13" s="317" t="s">
        <v>136</v>
      </c>
    </row>
    <row r="14" customFormat="false" ht="28.5" hidden="false" customHeight="true" outlineLevel="0" collapsed="false">
      <c r="A14" s="315" t="s">
        <v>313</v>
      </c>
      <c r="B14" s="316" t="s">
        <v>314</v>
      </c>
      <c r="C14" s="317" t="s">
        <v>139</v>
      </c>
    </row>
    <row r="15" customFormat="false" ht="28.5" hidden="false" customHeight="true" outlineLevel="0" collapsed="false">
      <c r="A15" s="315" t="s">
        <v>315</v>
      </c>
      <c r="B15" s="316" t="s">
        <v>316</v>
      </c>
      <c r="C15" s="317" t="s">
        <v>143</v>
      </c>
    </row>
    <row r="16" customFormat="false" ht="28.5" hidden="false" customHeight="true" outlineLevel="0" collapsed="false">
      <c r="A16" s="315"/>
      <c r="B16" s="316" t="s">
        <v>317</v>
      </c>
      <c r="C16" s="317" t="s">
        <v>145</v>
      </c>
    </row>
    <row r="17" customFormat="false" ht="28.5" hidden="false" customHeight="true" outlineLevel="0" collapsed="false">
      <c r="A17" s="315" t="s">
        <v>318</v>
      </c>
      <c r="B17" s="316" t="s">
        <v>319</v>
      </c>
      <c r="C17" s="318" t="s">
        <v>150</v>
      </c>
    </row>
  </sheetData>
  <mergeCells count="4">
    <mergeCell ref="A4:A5"/>
    <mergeCell ref="A6:A9"/>
    <mergeCell ref="A12:A13"/>
    <mergeCell ref="A15:A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2026-07-21T08:59:50Z</dcterms:created>
  <dc:creator/>
  <dc:description/>
  <dc:language>en-US</dc:language>
  <cp:lastModifiedBy/>
  <dcterms:modified xsi:type="dcterms:W3CDTF">2026-07-21T08:59:50Z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